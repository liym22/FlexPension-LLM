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表" sheetId="2" r:id="rId5"/>
    <sheet name="居民保" sheetId="3" r:id="rId6"/>
    <sheet name="基础养老金" sheetId="4" r:id="rId7"/>
    <sheet name="社平工资" sheetId="5" r:id="rId8"/>
    <sheet name="职工保" sheetId="6" r:id="rId9"/>
    <sheet name="Sheet6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<sst xmlns="http://schemas.openxmlformats.org/spreadsheetml/2006/main" count="65" uniqueCount="65">
  <si>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  </t>
  </si>
  <si>
    <t/>
    <r>
      <rPr>
        <u/>
        <sz val="9.75"/>
        <color theme="10"/>
        <rFont val="Calibri"/>
        <family val="2"/>
      </rPr>
      <t>https://www.yn.gov.cn/zwgk/zcwj/yzf/201606/t20160620_142914.html</t>
    </r>
  </si>
  <si>
    <t/>
    <r>
      <rPr>
        <u/>
        <sz val="9.75"/>
        <color theme="10"/>
        <rFont val="Calibri"/>
        <family val="2"/>
      </rPr>
      <t>https://www.yzh.gov.cn/zzb/zcwj_68006/201709/t20170921_490611.html</t>
    </r>
  </si>
  <si>
    <t/>
    <r>
      <rPr>
        <u/>
        <sz val="9.75"/>
        <color theme="10"/>
        <rFont val="Calibri"/>
        <family val="2"/>
      </rPr>
      <t>https://www.xinjiang.gov.cn/xinjiang/c112543/202311/7eaa140567bb4a22aff539ed57a853f2.shtml</t>
    </r>
  </si>
  <si>
    <t/>
    <r>
      <rPr>
        <u/>
        <sz val="9.75"/>
        <color theme="10"/>
        <rFont val="Calibri"/>
        <family val="2"/>
      </rPr>
      <t>https://www.mohrss.gov.cn/ncshbxs/NCSHBXSzhengcewenjian/201408/t20140828_139165.html</t>
    </r>
  </si>
  <si>
    <t/>
    <r>
      <rPr>
        <u/>
        <sz val="9.75"/>
        <color theme="10"/>
        <rFont val="Calibri"/>
        <family val="2"/>
      </rPr>
      <t>http://www.qinghai.gov.cn/xxgk/xxgk/fd/lzyj/gfxwj/szf/201712/t20171222_18165.html?f_link_type=f_linkinlinenote&amp;flow_extra=eyJpbmxpbmVfZGlzcGxheV9wb3NpdGlvbiI6MCwiZG9jX3Bvc2l0aW9uIjowLCJkb2NfaWQiOiJjNGFjMzQ1ZWNiZWNkNTg3LTQ2MTdlZTk3OWRiNDQ1MGYifQ%3D%3D</t>
    </r>
  </si>
  <si>
    <t/>
    <r>
      <rPr>
        <u/>
        <sz val="9.75"/>
        <color theme="10"/>
        <rFont val="Calibri"/>
        <family val="2"/>
      </rPr>
      <t>https://www.tj.gov.cn/zwgk/szfwj/tjsrmzf/202005/t20200519_2365600.html?f_link_type=f_linkinlinenote&amp;flow_extra=eyJpbmxpbmVfZGlzcGxheV9wb3NpdGlvbiI6MCwiZG9jX3Bvc2l0aW9uIjowLCJkb2NfaWQiOiIxMTAzMjI2MzdjYzMyYWVkLWQ0YzVmODBiYjZmMGI0NDgifQ%3D%3D</t>
    </r>
  </si>
  <si>
    <t/>
    <r>
      <rPr>
        <u/>
        <sz val="9.75"/>
        <color theme="10"/>
        <rFont val="Calibri"/>
        <family val="2"/>
      </rPr>
      <t>https://www.hebei.gov.cn/columns/43e11810-5806-4099-84ab-0c9bc150e7d6/202309/11/e7d4a5c2-a891-4088-9c70-84b497a2f3df.html</t>
    </r>
  </si>
  <si>
    <t/>
    <r>
      <rPr>
        <u/>
        <sz val="9.75"/>
        <color theme="10"/>
        <rFont val="Calibri"/>
        <family val="2"/>
      </rPr>
      <t>https://rsj.beijing.gov.cn/xxgk/2024zcwj/202504/t20250425_4074533.html?f_link_type=f_linkinlinenote&amp;flow_extra=eyJpbmxpbmVfZGlzcGxheV9wb3NpdGlvbiI6MCwiZG9jX3Bvc2l0aW9uIjowLCJkb2NfaWQiOiI5OTU5NDkxZGZiYzI2MjhkLWVkNTlmMmExODg4N2I2OWQifQ%3D%3D</t>
    </r>
    <r>
      <t xml:space="preserve">
</t>
    </r>
    <r>
      <rPr>
        <u/>
        <sz val="9.75"/>
        <color theme="10"/>
        <rFont val="Calibri"/>
        <family val="2"/>
      </rPr>
      <t>https://rsj.beijing.gov.cn/xxgk/2024zcwj/202406/t20240617_3716935.html?f_link_type=f_linkinlinenote&amp;flow_extra=eyJpbmxpbmVfZGlzcGxheV9wb3NpdGlvbiI6MCwiZG9jX3Bvc2l0aW9uIjowLCJkb2NfaWQiOiIwMDdlYTNhNjMxMmMzNDc5LTVmNTllYmQ0MDU0MWM5OTMifQ%3D%3D</t>
    </r>
  </si>
  <si>
    <t/>
    <r>
      <rPr>
        <u/>
        <sz val="9.75"/>
        <color theme="10"/>
        <rFont val="Calibri"/>
        <family val="2"/>
      </rPr>
      <t>https://www.shenyang.gov.cn/zwgk/zcwj/zfwj/szfwj/202112/t20211201_1701271.html</t>
    </r>
  </si>
  <si>
    <t/>
    <r>
      <rPr>
        <u/>
        <sz val="9.75"/>
        <color theme="10"/>
        <rFont val="Calibri"/>
        <family val="2"/>
      </rPr>
      <t>https://xxgk.jl.gov.cn/qtdw/jgsw_98202/zcfg/201905/t20190505_5838820.html</t>
    </r>
  </si>
  <si>
    <t/>
    <r>
      <rPr>
        <u/>
        <sz val="9.75"/>
        <color theme="10"/>
        <rFont val="Calibri"/>
        <family val="2"/>
      </rPr>
      <t>https://rst.shanxi.gov.cn/zwyw/zcfg/zfgz/201406/t20140630_2907820.shtml?f_link_type=f_linkinlinenote&amp;flow_extra=eyJkb2NfaWQiOiIzZTc3YmY3YWE5NzZkYWIyLTBhNDlkNDdmNDU1YjEyMTkiLCJpbmxpbmVfZGlzcGxheV9wb3NpdGlvbiI6MCwiZG9jX3Bvc2l0aW9uIjowfQ%3D%3D</t>
    </r>
  </si>
  <si>
    <t/>
    <r>
      <rPr>
        <u/>
        <sz val="9.75"/>
        <color theme="10"/>
        <rFont val="Calibri"/>
        <family val="2"/>
      </rPr>
      <t>https://www.nmg.gov.cn/zwgk/zfxxgk/zfxxgkml/202012/t20201208_313317.html</t>
    </r>
  </si>
  <si>
    <t/>
    <r>
      <rPr>
        <u/>
        <sz val="9.75"/>
        <color theme="10"/>
        <rFont val="Calibri"/>
        <family val="2"/>
      </rPr>
      <t>http://admin.yzcity.gov.cn:8888/jhtjz/0200/201607/be0ed0e2b1f34880b1a352c9c045198e.shtml?f_link_type=f_linkinlinenote&amp;flow_extra=eyJpbmxpbmVfZGlzcGxheV9wb3NpdGlvbiI6MCwiZG9jX3Bvc2l0aW9uIjowLCJkb2NfaWQiOiJhN2I5MDUyNzkzNDViN2E3LWY4ZmU0M2I5NTE5YzQ3ZWUifQ%3D%3D</t>
    </r>
  </si>
  <si>
    <t/>
    <r>
      <rPr>
        <u/>
        <sz val="9.75"/>
        <color theme="10"/>
        <rFont val="Calibri"/>
        <family val="2"/>
      </rPr>
      <t>https://www.qdh.gov.cn/art/2016/4/26/art_1289748_5969813.html?f_link_type=f_linkinlinenote&amp;flow_extra=eyJpbmxpbmVfZGlzcGxheV9wb3NpdGlvbiI6MCwiZG9jX3Bvc2l0aW9uIjowLCJkb2NfaWQiOiJhOTc5M2Q0MGZjYjYzYzgzLWNjZmY1MTM0ZmY0OTNkZGMifQ%3D%3D</t>
    </r>
  </si>
  <si>
    <t/>
    <r>
      <rPr>
        <u/>
        <sz val="9.75"/>
        <color theme="10"/>
        <rFont val="Calibri"/>
        <family val="2"/>
      </rPr>
      <t>https://www.chinaacc.com/heilongjiangczzn/ncshbz/wa1604268403.shtml</t>
    </r>
  </si>
  <si>
    <t/>
    <r>
      <rPr>
        <u/>
        <sz val="9.75"/>
        <color theme="10"/>
        <rFont val="Calibri"/>
        <family val="2"/>
      </rPr>
      <t>https://www.shanghai.gov.cn/nw31810/20200820/0001-31810_38977.html</t>
    </r>
  </si>
  <si>
    <t/>
    <r>
      <rPr>
        <u/>
        <sz val="9.75"/>
        <color theme="10"/>
        <rFont val="Calibri"/>
        <family val="2"/>
      </rPr>
      <t>https://www.jiangxi.gov.cn/jxsrmzf/zcwj103/pc/content/content_1754337813615546368.html?f_link_type=f_linkinlinenote&amp;flow_extra=eyJpbmxpbmVfZGlzcGxheV9wb3NpdGlvbiI6MCwiZG9jX3Bvc2l0aW9uIjowLCJkb2NfaWQiOiIxYjY4ODI0YmFhMmMwZTNlLWJlOTdlY2RjNzk0ZjQxNzkifQ%3D%3D</t>
    </r>
  </si>
  <si>
    <t/>
    <r>
      <rPr>
        <u/>
        <sz val="9.75"/>
        <color theme="10"/>
        <rFont val="Calibri"/>
        <family val="2"/>
      </rPr>
      <t>http://www.jimo.gov.cn/xwzx/bmdt/202110/t20211004_3469882.shtml?f_link_type=f_linkinlinenote&amp;flow_extra=eyJpbmxpbmVfZGlzcGxheV9wb3NpdGlvbiI6MCwiZG9jX3Bvc2l0aW9uIjowLCJkb2NfaWQiOiJkYjJmNmY4M2Q3NmQ3MzM0LTBiNmUwODA0YjI4MTY4ODEifQ%3D%3D</t>
    </r>
  </si>
  <si>
    <t/>
    <r>
      <rPr>
        <u/>
        <sz val="9.75"/>
        <color theme="10"/>
        <rFont val="Calibri"/>
        <family val="2"/>
      </rPr>
      <t>https://rsj.huaibei.gov.cn/gzdt/zcjd/13703951.html</t>
    </r>
  </si>
  <si>
    <t/>
    <r>
      <rPr>
        <u/>
        <sz val="9.75"/>
        <color theme="10"/>
        <rFont val="Calibri"/>
        <family val="2"/>
      </rPr>
      <t>https://www.fujian.gov.cn/zwgk/zxwj/szfwj/201409/t20140917_1468256.htm</t>
    </r>
  </si>
  <si>
    <t/>
    <r>
      <rPr>
        <u/>
        <sz val="9.75"/>
        <color theme="10"/>
        <rFont val="Calibri"/>
        <family val="2"/>
      </rPr>
      <t>https://rst.hunan.gov.cn/rst/xxgk/gzdt/zwdt/201606/t20160615_3450376.html</t>
    </r>
  </si>
  <si>
    <t/>
    <r>
      <rPr>
        <u/>
        <sz val="9.75"/>
        <color theme="10"/>
        <rFont val="Calibri"/>
        <family val="2"/>
      </rPr>
      <t>https://www.gd.gov.cn/zwgk/wjk/zcfgk/content/post_2709923.html</t>
    </r>
  </si>
  <si>
    <t/>
    <r>
      <rPr>
        <u/>
        <sz val="9.75"/>
        <color theme="10"/>
        <rFont val="Calibri"/>
        <family val="2"/>
      </rPr>
      <t>https://www.henan.gov.cn/2014/11-25/239076.html</t>
    </r>
  </si>
  <si>
    <t/>
    <r>
      <rPr>
        <u/>
        <sz val="9.75"/>
        <color theme="10"/>
        <rFont val="Calibri"/>
        <family val="2"/>
      </rPr>
      <t>https://www.tianmen.gov.cn/zwgk/bmhxzxxgkml/xzbcy/fzsz/zfxxgk/zc/zfwj/201610/t20161012_1950362.shtml</t>
    </r>
  </si>
  <si>
    <t/>
    <r>
      <rPr>
        <u/>
        <sz val="9.75"/>
        <color theme="10"/>
        <rFont val="Calibri"/>
        <family val="2"/>
      </rPr>
      <t>https://www.cq.gov.cn/zwgk/zfxxgkml/szfwj/xzgfxwj/szfbgt/201409/t20140904_8837386.html</t>
    </r>
  </si>
  <si>
    <t/>
    <r>
      <rPr>
        <u/>
        <sz val="9.75"/>
        <color theme="10"/>
        <rFont val="Calibri"/>
        <family val="2"/>
      </rPr>
      <t>https://www.sc.gov.cn/10462/10883/11066/2014/4/21/10299664.shtml</t>
    </r>
  </si>
  <si>
    <t/>
    <r>
      <rPr>
        <u/>
        <sz val="9.75"/>
        <color theme="10"/>
        <rFont val="Calibri"/>
        <family val="2"/>
      </rPr>
      <t>http://www.gxzf.gov.cn/zfgb/2014nzfgb_35190/d26q_35191/zzqrmzfbgtwj_35194/t1511562.shtml</t>
    </r>
  </si>
  <si>
    <t/>
    <r>
      <rPr>
        <u/>
        <sz val="9.75"/>
        <color theme="10"/>
        <rFont val="Calibri"/>
        <family val="2"/>
      </rPr>
      <t>https://chengmai.hainan.gov.cn/wenruzhen/zfwj/201908/fb30c98cdcab43dcaddd56fcf2158e8f.shtml</t>
    </r>
  </si>
  <si>
    <t/>
    <r>
      <rPr>
        <u/>
        <sz val="9.75"/>
        <color theme="10"/>
        <rFont val="Calibri"/>
        <family val="2"/>
      </rPr>
      <t>https://www.xizang.gov.cn/zwgk/xxgk_424/zxxxgk/201902/W020221122733493079578.pdf</t>
    </r>
  </si>
  <si>
    <t/>
    <r>
      <rPr>
        <u/>
        <sz val="9.75"/>
        <color theme="10"/>
        <rFont val="Calibri"/>
        <family val="2"/>
      </rPr>
      <t>https://www.shaanxi.gov.cn/zfxxgk/zfgb/2014_4066/d17q_4083/201409/t20140917_1641201_wap.html</t>
    </r>
  </si>
  <si>
    <t/>
    <r>
      <rPr>
        <u/>
        <sz val="9.75"/>
        <color theme="10"/>
        <rFont val="Calibri"/>
        <family val="2"/>
      </rPr>
      <t>https://www.guizhou.gov.cn/zwgk/zfgb/gzszfgb/201406/t20140614_70521376.html</t>
    </r>
  </si>
  <si>
    <t/>
    <r>
      <rPr>
        <u/>
        <sz val="9.75"/>
        <color theme="10"/>
        <rFont val="Calibri"/>
        <family val="2"/>
      </rPr>
      <t>查看原文</t>
    </r>
  </si>
  <si>
    <t/>
    <r>
      <rPr>
        <u/>
        <color theme="10"/>
      </rPr>
      <t>https://rsj.sh.gov.cn/tmsztc_17502/20200617/t0035_1378706.html</t>
    </r>
  </si>
  <si>
    <t/>
    <r>
      <rPr>
        <u/>
        <color theme="10"/>
      </rPr>
      <t>https://m.wh.bendibao.com/live/81114.shtm</t>
    </r>
  </si>
  <si>
    <t/>
    <r>
      <rPr>
        <u/>
        <color theme="10"/>
      </rPr>
      <t>https://www.yncj.gov.cn/cjxzfxxgk/tzgg5614/20160531/259083.html?f_link_type=f_linkinlinenote&amp;flow_extra=eyJpbmxpbmVfZGlzcGxheV9wb3NpdGlvbiI6MCwiZG9jX3Bvc2l0aW9uIjowLCJkb2NfaWQiOiI5MDQ5MzI0NTJlNmRjMzM5LWMwOWM0YjExOGFhY2YxMTIifQ%3D%3D</t>
    </r>
  </si>
  <si>
    <t/>
    <r>
      <rPr>
        <u/>
        <color theme="10"/>
      </rPr>
      <t>https://www.beijing.gov.cn/gate/big5/www.beijing.gov.cn/zhengce/zhengcefagui/201905/t20190522_59179.html?f_link_type=f_linkinlinenote&amp;flow_extra=eyJkb2NfcG9zaXRpb24iOjAsImRvY19pZCI6IjNhNGQ4YWY3NTY5MGFjMGQtNzdiNjI2OTU1MDE0M2FiYiIsImlubGluZV9kaXNwbGF5X3Bvc2l0aW9uIjowfQ%3D%3D</t>
    </r>
  </si>
  <si>
    <t/>
    <r>
      <rPr>
        <u/>
        <color theme="10"/>
      </rPr>
      <t>https://jx.cnr.cn/caijing/cjyw/20160107/t20160107_521057610.shtml</t>
    </r>
  </si>
  <si>
    <t/>
    <r>
      <rPr>
        <u/>
        <color theme="10"/>
      </rPr>
      <t>https://m.cq.bendibao.com/news/64730.shtm</t>
    </r>
  </si>
  <si>
    <t/>
    <r>
      <rPr>
        <u/>
        <color theme="10"/>
      </rPr>
      <t>https://hrss.nx.gov.cn/xxgk/zcj/zcfg/shbz/201607/t20160705_581390.html?f_link_type=f_linkinlinenote&amp;flow_extra=eyJkb2NfaWQiOiJiZGQzZjE4YTU4Mjc5OTI0LTlhY2IwZjg0NWQ1NjJmMTQiLCJpbmxpbmVfZGlzcGxheV9wb3NpdGlvbiI6MCwiZG9jX3Bvc2l0aW9uIjowfQ%3D%3D</t>
    </r>
  </si>
  <si>
    <t/>
    <r>
      <rPr>
        <u/>
        <color theme="10"/>
      </rPr>
      <t>https://m12333.cn/policy/mecm.html</t>
    </r>
  </si>
  <si>
    <t/>
    <r>
      <rPr>
        <u/>
        <color theme="10"/>
      </rPr>
      <t>https://sd.dzwww.com/sdnews/201606/t20160613_14450360.htm</t>
    </r>
  </si>
  <si>
    <t/>
    <r>
      <rPr>
        <u/>
        <color theme="10"/>
      </rPr>
      <t>https://www.neijiang.gov.cn/njs/ssqk3/201609/f74c1975785646a582c4ae67fd4335ba.shtml?f_link_type=f_linkinlinenote&amp;flow_extra=eyJpbmxpbmVfZGlzcGxheV9wb3NpdGlvbiI6MCwiZG9jX3Bvc2l0aW9uIjowLCJkb2NfaWQiOiI4ZmNmMDUzNmYzOGU1ZTc4LTg1YjdkNGFiYjJjYzQ1ZjAifQ%3D%3D</t>
    </r>
  </si>
  <si>
    <t/>
    <r>
      <rPr>
        <u/>
        <color theme="10"/>
      </rPr>
      <t>https://rst.xinjiang.gov.cn/xjrst/c112710/201607/880f5c1f76fd4200af0b8ce3b59b6fcd.shtml</t>
    </r>
  </si>
  <si>
    <t/>
    <r>
      <rPr>
        <u/>
        <color theme="10"/>
      </rPr>
      <t>https://news.cnjiwang.com/jlxwdt/jl/201606/2090083.html</t>
    </r>
  </si>
  <si>
    <t/>
    <r>
      <rPr>
        <u/>
        <color theme="10"/>
      </rPr>
      <t>https://rsj.luan.gov.cn/rsgz/shbz/gsbxian/zcwj/2759001.html</t>
    </r>
  </si>
  <si>
    <t/>
    <r>
      <rPr>
        <u/>
        <color theme="10"/>
      </rPr>
      <t>http://rsj.wuzhou.gov.cn/zwdt/t523858.shtml?f_link_type=f_linkinlinenote&amp;flow_extra=eyJpbmxpbmVfZGlzcGxheV9wb3NpdGlvbiI6MCwiZG9jX3Bvc2l0aW9uIjowLCJkb2NfaWQiOiI3M2E2ODcyMzVhN2NiOWE0LWE0YWFjZTIwOWNhMzk3OTAifQ%3D%3D</t>
    </r>
  </si>
  <si>
    <t/>
    <r>
      <rPr>
        <u/>
        <color theme="10"/>
      </rPr>
      <t>https://www.jyg.gov.cn/rsj/zwxxgk/zc/gfxwj/shbx/art/2022/art_045e7d30a2604c1c9d671c4b0a10f2c2.html?f_link_type=f_linkinlinenote&amp;flow_extra=eyJpbmxpbmVfZGlzcGxheV9wb3NpdGlvbiI6MCwiZG9jX3Bvc2l0aW9uIjowLCJkb2NfaWQiOiIyOWE0ZDFhOWUwN2EwMTkwLTRhNTQ3ZGIwMDFhOWVjZjMifQ%3D%3D</t>
    </r>
  </si>
  <si>
    <t/>
    <r>
      <rPr>
        <u/>
        <color theme="10"/>
      </rPr>
      <t>https://rst.shanxi.gov.cn/ztzl/shbxj/gzdt_565/201606/P020211027660767310006.pdf</t>
    </r>
  </si>
  <si>
    <t/>
    <r>
      <rPr>
        <u/>
        <sz val="9.75"/>
        <color theme="10"/>
        <rFont val="Calibri"/>
        <family val="2"/>
      </rPr>
      <t>https://rst.fujian.gov.cn/zw/zfxxgk/zfxxgkml/zyywgz/ldgx/201510/t20151008_922839.htm</t>
    </r>
  </si>
  <si>
    <t/>
    <r>
      <rPr>
        <u/>
        <color theme="10"/>
      </rPr>
      <t>https://rsj.haikou.gov.cn/xxgk/zcfg/bmzcwj/201703/t770936.shtml?f_link_type=f_linkinlinenote&amp;flow_extra=eyJpbmxpbmVfZGlzcGxheV9wb3NpdGlvbiI6MCwiZG9jX3Bvc2l0aW9uIjowLCJkb2NfaWQiOiJhY2VhMTRiMGY0M2ZlZTIzLWQzMmY3MDc3MDliNDUwNjcifQ%3D%3D</t>
    </r>
  </si>
  <si>
    <t/>
    <r>
      <rPr>
        <u/>
        <color theme="10"/>
      </rPr>
      <t>http://www.qinghai.gov.cn/zwgk/system/2016/06/30/010222427.shtml?f_link_type=f_linkinlinenote&amp;flow_extra=eyJkb2NfcG9zaXRpb24iOjAsImRvY19pZCI6IjQ1Mjk2MDc3NDI0YjI1NzEtNzBjZGM1ZTQwZDVkNDBjYiIsImlubGluZV9kaXNwbGF5X3Bvc2l0aW9uIjowfQ%3D%3D</t>
    </r>
  </si>
  <si>
    <t/>
    <r>
      <rPr>
        <u/>
        <color theme="10"/>
      </rPr>
      <t>http://www.blyq.gov.cn/jrbl/bmdt/201609/t20160922_1826555.html</t>
    </r>
  </si>
  <si>
    <t/>
    <r>
      <rPr>
        <u/>
        <color theme="10"/>
      </rPr>
      <t>https://rsj.nanjing.gov.cn/njsrlzyhshbzj/201810/t20181021_540337.html?f_link_type=f_linkinlinenote&amp;flow_extra=eyJpbmxpbmVfZGlzcGxheV9wb3NpdGlvbiI6MCwiZG9jX3Bvc2l0aW9uIjowLCJkb2NfaWQiOiIzM2ZlMTJiZmM5YTRmYzgxLTJlZDZiM2FhNjA2YmU2ZjUifQ%3D%3D</t>
    </r>
  </si>
  <si>
    <t/>
    <r>
      <rPr>
        <u/>
        <color theme="10"/>
      </rPr>
      <t>https://rst.hunan.gov.cn/rst/xxgk/zfxxgknb/201708/t20170810_4387914.html</t>
    </r>
  </si>
  <si>
    <t/>
    <r>
      <rPr>
        <u/>
        <color theme="10"/>
      </rPr>
      <t>https://www.xizang.gov.cn/zwgk/xxfb/zcjd_435/201901/t20190117_52742.html</t>
    </r>
  </si>
  <si>
    <t/>
    <r>
      <rPr>
        <u/>
        <color theme="10"/>
      </rPr>
      <t>https://hrss.tj.gov.cn/zhengwugongkai/zhengcezhinan/zxwjnew/202012/t20201206_4491283.html</t>
    </r>
  </si>
  <si>
    <t/>
    <r>
      <rPr>
        <u/>
        <color theme="10"/>
      </rPr>
      <t>https://hrss.wenzhou.gov.cn/art/2016/7/5/art_1330450_7593943.html</t>
    </r>
  </si>
  <si>
    <t/>
    <r>
      <rPr>
        <u/>
        <color theme="10"/>
      </rPr>
      <t>https://guangdong.chinatax.gov.cn/gdsw/ssfggds/2016-03/28/content_e05c85bd497d465b9b7ba153a387585b.shtml</t>
    </r>
  </si>
  <si>
    <t/>
    <r>
      <rPr>
        <u/>
        <color theme="10"/>
      </rPr>
      <t>https://www.sxshbzj.cn/newstyle/pub_newsshow.asp?chid=100160&amp;f_link_type=f_linkinlinenote&amp;flow_extra=eyJpbmxpbmVfZGlzcGxheV9wb3NpdGlvbiI6MCwiZG9jX3Bvc2l0aW9uIjowLCJkb2NfaWQiOiJkYjM4MDNmMDY0YzhmZDNkLTJhNjZhZDMzMmVjYjRhZTIifQ%3D%3D&amp;id=29010233</t>
    </r>
  </si>
  <si>
    <t/>
    <r>
      <rPr>
        <u/>
        <color theme="10"/>
      </rPr>
      <t>https://rsj.lf.gov.cn/ecdomain/fileHandle.do?action=read&amp;objectID=20160714101900329&amp;infoChecked=0</t>
    </r>
  </si>
  <si>
    <t/>
    <r>
      <rPr>
        <u/>
        <color theme="10"/>
      </rPr>
      <t>https://www.hlj.gov.cn/hlj/c108036/201611/c00_30644886.shtml</t>
    </r>
  </si>
  <si>
    <t/>
    <r>
      <rPr>
        <u/>
        <color theme="10"/>
      </rPr>
      <t>http://www.zzsi.com/site-data/sbzx/html/2023/04/23/1466956800.html</t>
    </r>
  </si>
  <si>
    <t/>
    <r>
      <rPr>
        <u/>
        <color theme="10"/>
      </rPr>
      <t>https://rst.guizhou.gov.cn/zwgk/zdlyxx/sbxx/201711/t20171118_63499881.html?f_link_type=f_linkinlinenote&amp;flow_extra=eyJkb2NfcG9zaXRpb24iOjAsImRvY19pZCI6IjA3YWQyYjg0OTdkYmE2ZTgtNzJmYTEyMGIzYjI1MGE3MCIsImlubGluZV9kaXNwbGF5X3Bvc2l0aW9uIjowfQ%3D%3D</t>
    </r>
  </si>
  <si>
    <t/>
    <r>
      <rPr>
        <u/>
        <sz val="9.75"/>
        <color theme="10"/>
        <rFont val="Calibri"/>
        <family val="2"/>
      </rPr>
      <t>链接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</si>
</sst>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%"/>
    <numFmt numFmtId="165" formatCode="0%"/>
  </numFmts>
  <fonts count="10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1F1F1F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1F1F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b val="true"/>
      <sz val="9.75"/>
      <color rgb="FF1F1F1F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EFEF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1" numFmtId="0" xfId="0">
      <alignment horizontal="left" vertical="center" wrapText="true"/>
    </xf>
    <xf applyAlignment="true" applyBorder="false" applyFill="false" applyFont="true" applyNumberFormat="true" applyProtection="false" borderId="8" fillId="0" fontId="2" numFmtId="164" xfId="0">
      <alignment vertical="center" wrapText="true"/>
    </xf>
    <xf applyAlignment="true" applyBorder="false" applyFill="false" applyFont="true" applyNumberFormat="false" applyProtection="false" borderId="9" fillId="0" fontId="2" numFmtId="0" xfId="0">
      <alignment vertical="center" wrapText="true"/>
    </xf>
    <xf applyAlignment="true" applyBorder="false" applyFill="false" applyFont="true" applyNumberFormat="false" applyProtection="false" borderId="10" fillId="0" fontId="2" numFmtId="0" xfId="0">
      <alignment vertical="top" wrapText="true"/>
    </xf>
    <xf applyAlignment="true" applyBorder="false" applyFill="false" applyFont="true" applyNumberFormat="true" applyProtection="false" borderId="11" fillId="0" fontId="5" numFmtId="165" xfId="0">
      <alignment vertical="center"/>
    </xf>
    <xf applyAlignment="true" applyBorder="false" applyFill="false" applyFont="true" applyNumberFormat="false" applyProtection="false" borderId="12" fillId="0" fontId="5" numFmtId="0" xfId="0">
      <alignment vertical="center"/>
    </xf>
    <xf applyAlignment="true" applyBorder="false" applyFill="false" applyFont="true" applyNumberFormat="false" applyProtection="false" borderId="13" fillId="0" fontId="7" numFmtId="0" xfId="0">
      <alignment vertical="top" wrapText="true"/>
    </xf>
    <xf applyAlignment="true" applyBorder="false" applyFill="false" applyFont="true" applyNumberFormat="false" applyProtection="false" borderId="14" fillId="0" fontId="8" numFmtId="0" xfId="0">
      <alignment vertical="center" wrapText="true"/>
    </xf>
    <xf applyAlignment="true" applyBorder="false" applyFill="true" applyFont="true" applyNumberFormat="false" applyProtection="false" borderId="15" fillId="2" fontId="8" numFmtId="0" xfId="0">
      <alignment vertical="center" wrapText="true"/>
    </xf>
    <xf applyAlignment="true" applyBorder="false" applyFill="false" applyFont="true" applyNumberFormat="false" applyProtection="false" borderId="16" fillId="0" fontId="9" numFmtId="0" xfId="0">
      <alignment vertical="center" wrapText="true"/>
    </xf>
    <xf applyAlignment="true" applyBorder="false" applyFill="false" applyFont="true" applyNumberFormat="false" applyProtection="false" borderId="17" fillId="0" fontId="7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s://www.fujian.gov.cn/zwgk/zxwj/szfwj/201409/t20140917_1468256.htm" Type="http://schemas.openxmlformats.org/officeDocument/2006/relationships/hyperlink" TargetMode="External"></Relationship><Relationship Id="rId2" Target="http://admin.yzcity.gov.cn:8888/jhtjz/0200/201607/be0ed0e2b1f34880b1a352c9c045198e.shtml?f_link_type=f_linkinlinenote&amp;flow_extra=eyJpbmxpbmVfZGlzcGxheV9wb3NpdGlvbiI6MCwiZG9jX3Bvc2l0aW9uIjowLCJkb2NfaWQiOiJhN2I5MDUyNzkzNDViN2E3LWY4ZmU0M2I5NTE5YzQ3ZWUifQ==" Type="http://schemas.openxmlformats.org/officeDocument/2006/relationships/hyperlink" TargetMode="External"></Relationship><Relationship Id="rId3" Target="https://www.sc.gov.cn/10462/10883/11066/2014/4/21/10299664.shtml" Type="http://schemas.openxmlformats.org/officeDocument/2006/relationships/hyperlink" TargetMode="External"></Relationship><Relationship Id="rId4" Target="http://www.qinghai.gov.cn/xxgk/xxgk/fd/lzyj/gfxwj/szf/201712/t20171222_18165.html?f_link_type=f_linkinlinenote&amp;flow_extra=eyJpbmxpbmVfZGlzcGxheV9wb3NpdGlvbiI6MCwiZG9jX3Bvc2l0aW9uIjowLCJkb2NfaWQiOiJjNGFjMzQ1ZWNiZWNkNTg3LTQ2MTdlZTk3OWRiNDQ1MGYifQ==" Type="http://schemas.openxmlformats.org/officeDocument/2006/relationships/hyperlink" TargetMode="External"></Relationship><Relationship Id="rId5" Target="https://rsj.beijing.gov.cn/xxgk/2024zcwj/202504/t20250425_4074533.html?f_link_type=f_linkinlinenote&amp;flow_extra=eyJpbmxpbmVfZGlzcGxheV9wb3NpdGlvbiI6MCwiZG9jX3Bvc2l0aW9uIjowLCJkb2NfaWQiOiI5OTU5NDkxZGZiYzI2MjhkLWVkNTlmMmExODg4N2I2OWQifQ==" Type="http://schemas.openxmlformats.org/officeDocument/2006/relationships/hyperlink" TargetMode="External"></Relationship><Relationship Id="rId6" Target="https://www.hebei.gov.cn/columns/43e11810-5806-4099-84ab-0c9bc150e7d6/202309/11/e7d4a5c2-a891-4088-9c70-84b497a2f3df.html" Type="http://schemas.openxmlformats.org/officeDocument/2006/relationships/hyperlink" TargetMode="External"></Relationship><Relationship Id="rId7" Target="https://www.henan.gov.cn/2014/11-25/239076.html" Type="http://schemas.openxmlformats.org/officeDocument/2006/relationships/hyperlink" TargetMode="External"></Relationship><Relationship Id="rId8" Target="https://www.shenyang.gov.cn/zwgk/zcwj/zfwj/szfwj/202112/t20211201_1701271.html" Type="http://schemas.openxmlformats.org/officeDocument/2006/relationships/hyperlink" TargetMode="External"></Relationship><Relationship Id="rId9" Target="https://www.qdh.gov.cn/art/2016/4/26/art_1289748_5969813.html?f_link_type=f_linkinlinenote&amp;flow_extra=eyJpbmxpbmVfZGlzcGxheV9wb3NpdGlvbiI6MCwiZG9jX3Bvc2l0aW9uIjowLCJkb2NfaWQiOiJhOTc5M2Q0MGZjYjYzYzgzLWNjZmY1MTM0ZmY0OTNkZGMifQ==" Type="http://schemas.openxmlformats.org/officeDocument/2006/relationships/hyperlink" TargetMode="External"></Relationship><Relationship Id="rId10" Target="https://www.mohrss.gov.cn/ncshbxs/NCSHBXSzhengcewenjian/201408/t20140828_139165.html" Type="http://schemas.openxmlformats.org/officeDocument/2006/relationships/hyperlink" TargetMode="External"></Relationship><Relationship Id="rId11" Target="https://www.nmg.gov.cn/zwgk/zfxxgk/zfxxgkml/202012/t20201208_313317.html" Type="http://schemas.openxmlformats.org/officeDocument/2006/relationships/hyperlink" TargetMode="External"></Relationship><Relationship Id="rId12" Target="https://www.chinaacc.com/heilongjiangczzn/ncshbz/wa1604268403.shtml" Type="http://schemas.openxmlformats.org/officeDocument/2006/relationships/hyperlink" TargetMode="External"></Relationship><Relationship Id="rId13" Target="https://www.yn.gov.cn/zwgk/zcwj/yzf/201606/t20160620_142914.html" Type="http://schemas.openxmlformats.org/officeDocument/2006/relationships/hyperlink" TargetMode="External"></Relationship><Relationship Id="rId14" Target="https://www.cq.gov.cn/zwgk/zfxxgkml/szfwj/xzgfxwj/szfbgt/201409/t20140904_8837386.html" Type="http://schemas.openxmlformats.org/officeDocument/2006/relationships/hyperlink" TargetMode="External"></Relationship><Relationship Id="rId15" Target="https://www.yzh.gov.cn/zzb/zcwj_68006/201709/t20170921_490611.html" Type="http://schemas.openxmlformats.org/officeDocument/2006/relationships/hyperlink" TargetMode="External"></Relationship><Relationship Id="rId16" Target="https://www.tianmen.gov.cn/zwgk/bmhxzxxgkml/xzbcy/fzsz/zfxxgk/zc/zfwj/201610/t20161012_1950362.shtml" Type="http://schemas.openxmlformats.org/officeDocument/2006/relationships/hyperlink" TargetMode="External"></Relationship><Relationship Id="rId17" Target="https://www.xinjiang.gov.cn/xinjiang/c112543/202311/7eaa140567bb4a22aff539ed57a853f2.shtml" Type="http://schemas.openxmlformats.org/officeDocument/2006/relationships/hyperlink" TargetMode="External"></Relationship><Relationship Id="rId18" Target="https://www.xizang.gov.cn/zwgk/xxgk_424/zxxxgk/201902/W020221122733493079578.pdf" Type="http://schemas.openxmlformats.org/officeDocument/2006/relationships/hyperlink" TargetMode="External"></Relationship><Relationship Id="rId19" Target="https://www.shanghai.gov.cn/nw31810/20200820/0001-31810_38977.html" Type="http://schemas.openxmlformats.org/officeDocument/2006/relationships/hyperlink" TargetMode="External"></Relationship><Relationship Id="rId20" Target="https://www.tj.gov.cn/zwgk/szfwj/tjsrmzf/202005/t20200519_2365600.html?f_link_type=f_linkinlinenote&amp;flow_extra=eyJpbmxpbmVfZGlzcGxheV9wb3NpdGlvbiI6MCwiZG9jX3Bvc2l0aW9uIjowLCJkb2NfaWQiOiIxMTAzMjI2MzdjYzMyYWVkLWQ0YzVmODBiYjZmMGI0NDgifQ==" Type="http://schemas.openxmlformats.org/officeDocument/2006/relationships/hyperlink" TargetMode="External"></Relationship><Relationship Id="rId21" Target="https://www.shaanxi.gov.cn/zfxxgk/zfgb/2014_4066/d17q_4083/201409/t20140917_1641201_wap.html" Type="http://schemas.openxmlformats.org/officeDocument/2006/relationships/hyperlink" TargetMode="External"></Relationship><Relationship Id="rId22" Target="https://chengmai.hainan.gov.cn/wenruzhen/zfwj/201908/fb30c98cdcab43dcaddd56fcf2158e8f.shtml" Type="http://schemas.openxmlformats.org/officeDocument/2006/relationships/hyperlink" TargetMode="External"></Relationship><Relationship Id="rId23" Target="https://rsj.huaibei.gov.cn/gzdt/zcjd/13703951.html" Type="http://schemas.openxmlformats.org/officeDocument/2006/relationships/hyperlink" TargetMode="External"></Relationship><Relationship Id="rId24" Target="https://www.guizhou.gov.cn/zwgk/zfgb/gzszfgb/201406/t20140614_70521376.html" Type="http://schemas.openxmlformats.org/officeDocument/2006/relationships/hyperlink" TargetMode="External"></Relationship><Relationship Id="rId25" Target="http://www.jimo.gov.cn/xwzx/bmdt/202110/t20211004_3469882.shtml?f_link_type=f_linkinlinenote&amp;flow_extra=eyJpbmxpbmVfZGlzcGxheV9wb3NpdGlvbiI6MCwiZG9jX3Bvc2l0aW9uIjowLCJkb2NfaWQiOiJkYjJmNmY4M2Q3NmQ3MzM0LTBiNmUwODA0YjI4MTY4ODEifQ==" Type="http://schemas.openxmlformats.org/officeDocument/2006/relationships/hyperlink" TargetMode="External"></Relationship><Relationship Id="rId26" Target="https://www.jiangxi.gov.cn/jxsrmzf/zcwj103/pc/content/content_1754337813615546368.html?f_link_type=f_linkinlinenote&amp;flow_extra=eyJpbmxpbmVfZGlzcGxheV9wb3NpdGlvbiI6MCwiZG9jX3Bvc2l0aW9uIjowLCJkb2NfaWQiOiIxYjY4ODI0YmFhMmMwZTNlLWJlOTdlY2RjNzk0ZjQxNzkifQ==" Type="http://schemas.openxmlformats.org/officeDocument/2006/relationships/hyperlink" TargetMode="External"></Relationship><Relationship Id="rId27" Target="http://www.gxzf.gov.cn/zfgb/2014nzfgb_35190/d26q_35191/zzqrmzfbgtwj_35194/t1511562.shtml" Type="http://schemas.openxmlformats.org/officeDocument/2006/relationships/hyperlink" TargetMode="External"></Relationship><Relationship Id="rId28" Target="https://rst.shanxi.gov.cn/zwyw/zcfg/zfgz/201406/t20140630_2907820.shtml?f_link_type=f_linkinlinenote&amp;flow_extra=eyJkb2NfaWQiOiIzZTc3YmY3YWE5NzZkYWIyLTBhNDlkNDdmNDU1YjEyMTkiLCJpbmxpbmVfZGlzcGxheV9wb3NpdGlvbiI6MCwiZG9jX3Bvc2l0aW9uIjowfQ==" Type="http://schemas.openxmlformats.org/officeDocument/2006/relationships/hyperlink" TargetMode="External"></Relationship><Relationship Id="rId29" Target="https://www.gd.gov.cn/zwgk/wjk/zcfgk/content/post_2709923.html" Type="http://schemas.openxmlformats.org/officeDocument/2006/relationships/hyperlink" TargetMode="External"></Relationship><Relationship Id="rId30" Target="https://rst.hunan.gov.cn/rst/xxgk/gzdt/zwdt/201606/t20160615_3450376.html" Type="http://schemas.openxmlformats.org/officeDocument/2006/relationships/hyperlink" TargetMode="External"></Relationship><Relationship Id="rId31" Target="https://xxgk.jl.gov.cn/qtdw/jgsw_98202/zcfg/201905/t20190505_5838820.html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https://hrss.tj.gov.cn/zhengwugongkai/zhengcezhinan/zxwjnew/202012/t20201206_4491373.html" Type="http://schemas.openxmlformats.org/officeDocument/2006/relationships/hyperlink" TargetMode="External"></Relationship><Relationship Id="rId2" Target="https://tjj.zj.gov.cn/art/2017/2/24/art_1229129205_519766.html" Type="http://schemas.openxmlformats.org/officeDocument/2006/relationships/hyperlink" TargetMode="External"></Relationship><Relationship Id="rId3" Target="https://hrss.henan.gov.cn/2016/11-11/1577148.html" Type="http://schemas.openxmlformats.org/officeDocument/2006/relationships/hyperlink" TargetMode="External"></Relationship><Relationship Id="rId4" Target="http://rst.hubei.gov.cn/bmdt/dtyw/tzgg/201707/t20170705_708520.shtml" Type="http://schemas.openxmlformats.org/officeDocument/2006/relationships/hyperlink" TargetMode="External"></Relationship><Relationship Id="rId5" Target="https://www.zygov.gov.cn/ztzl/hqlmzcmbk/202202/t20220228_72777806.html" Type="http://schemas.openxmlformats.org/officeDocument/2006/relationships/hyperlink" TargetMode="External"></Relationship><Relationship Id="rId6" Target="http://m.toutiao.com/group/6392944426297622786/" Type="http://schemas.openxmlformats.org/officeDocument/2006/relationships/hyperlink" TargetMode="External"></Relationship><Relationship Id="rId7" Target="http://www.scio.gov.cn/xwfb/gwyxwbgsxwfbh/wqfbh_2284/2015n_9477/2015n04y15r/dfdt_9614/202207/t20220715_185903_m.html" Type="http://schemas.openxmlformats.org/officeDocument/2006/relationships/hyperlink" TargetMode="External"></Relationship><Relationship Id="rId8" Target="https://rst.ln.gov.cn/rst/zxzx/zfhy/8D902875E6C94AD398DE7CFFC95F27AA/index.shtml" Type="http://schemas.openxmlformats.org/officeDocument/2006/relationships/hyperlink" TargetMode="External"></Relationship><Relationship Id="rId9" Target="https://www.mohrss.gov.cn/ncshbxs/NCSHBXSgongzuodongtai/201606/t20160614_241764.html" Type="http://schemas.openxmlformats.org/officeDocument/2006/relationships/hyperlink" TargetMode="External"></Relationship><Relationship Id="rId10" Target="http://www.zhalute.gov.cn/zwgk/zfxxgk/fdzdgknr/zdlyxx/ylfw_11582/ylfwzc/202408/t20240807_872860.html" Type="http://schemas.openxmlformats.org/officeDocument/2006/relationships/hyperlink" TargetMode="External"></Relationship><Relationship Id="rId11" Target="https://www.mohrss.gov.cn/SYrlzyhshbzb/dongtaixinwen/dfdt/gzdt/201606/t20160601_241085.html" Type="http://schemas.openxmlformats.org/officeDocument/2006/relationships/hyperlink" TargetMode="External"></Relationship><Relationship Id="rId12" Target="https://jshrss.jiangsu.gov.cn/art/2016/4/5/art_77277_9072694.html" Type="http://schemas.openxmlformats.org/officeDocument/2006/relationships/hyperlink" TargetMode="External"></Relationship><Relationship Id="rId13" Target="https://m12333.cn/policy/mcib.html" Type="http://schemas.openxmlformats.org/officeDocument/2006/relationships/hyperlink" TargetMode="External"></Relationship><Relationship Id="rId14" Target="https://jx.mof.gov.cn/gzdt/dcyj/201706/t20170623_2629877.htm" Type="http://schemas.openxmlformats.org/officeDocument/2006/relationships/hyperlink" TargetMode="External"></Relationship><Relationship Id="rId15" Target="https://www.ndrc.gov.cn/fggz/jyysr/dfjx/201601/t20160127_1129876_ext.html" Type="http://schemas.openxmlformats.org/officeDocument/2006/relationships/hyperlink" TargetMode="External"></Relationship><Relationship Id="rId16" Target="http://www.beijingreview.com.cn/minsheng/201602/t20160215_800048789.html" Type="http://schemas.openxmlformats.org/officeDocument/2006/relationships/hyperlink" TargetMode="External"></Relationship><Relationship Id="rId17" Target="http://www.chinanews.com.cn/m/cj/2016/08-12/7970690.shtml" Type="http://schemas.openxmlformats.org/officeDocument/2006/relationships/hyperlink" TargetMode="External"></Relationship><Relationship Id="rId18" Target="https://www.ah.gov.cn/public/1681/7965161.html" Type="http://schemas.openxmlformats.org/officeDocument/2006/relationships/hyperlink" TargetMode="External"></Relationship><Relationship Id="rId19" Target="https://www.shebaoonline.com/yanglaobaoxian/1724618/" Type="http://schemas.openxmlformats.org/officeDocument/2006/relationships/hyperlink" TargetMode="External"></Relationship><Relationship Id="rId20" Target="https://rlsbj.cq.gov.cn/ywzl/shbx/zczs/202006/t20200604_7541294.html" Type="http://schemas.openxmlformats.org/officeDocument/2006/relationships/hyperlink" TargetMode="External"></Relationship><Relationship Id="rId21" Target="http://www.mof.gov.cn/zhengwuxinxi/xinwenlianbo/xinjiangcaizhengxinxilianbo/202103/t20210319_3673112.htm" Type="http://schemas.openxmlformats.org/officeDocument/2006/relationships/hyperlink" TargetMode="External"></Relationship><Relationship Id="rId22" Target="https://m12333.cn/policy/mcwr.html" Type="http://schemas.openxmlformats.org/officeDocument/2006/relationships/hyperlink" TargetMode="External"></Relationship><Relationship Id="rId23" Target="http://m.taihainet.com/news/media/social/2017-02-19/1971909_4.html" Type="http://schemas.openxmlformats.org/officeDocument/2006/relationships/hyperlink" TargetMode="External"></Relationship><Relationship Id="rId24" Target="https://www.xizang.gov.cn/xwzx_406/bmkx/201812/t20181216_21226.html" Type="http://schemas.openxmlformats.org/officeDocument/2006/relationships/hyperlink" TargetMode="External"></Relationship><Relationship Id="rId25" Target="https://rsj.beijing.gov.cn/xxgk/2024zcwj/202406/t20240617_3717430.html" Type="http://schemas.openxmlformats.org/officeDocument/2006/relationships/hyperlink" TargetMode="External"></Relationship><Relationship Id="rId26" Target="https://m.fwdbook.qq.com/read/1022648565/16" Type="http://schemas.openxmlformats.org/officeDocument/2006/relationships/hyperlink" TargetMode="External"></Relationship><Relationship Id="rId27" Target="https://www.mohrss.gov.cn/ncshbxs/NCSHBXSgongzuodongtai/201607/t20160719_243887.html" Type="http://schemas.openxmlformats.org/officeDocument/2006/relationships/hyperlink" TargetMode="External"></Relationship><Relationship Id="rId28" Target="https://www.sc.gov.cn/10462/10464/10797/2017/6/3/10424355.shtml" Type="http://schemas.openxmlformats.org/officeDocument/2006/relationships/hyperlink" TargetMode="External"></Relationship><Relationship Id="rId29" Target="http://hrss.yn.gov.cn/NewsView.aspx?NewsID=23818&amp;ClassID=899" Type="http://schemas.openxmlformats.org/officeDocument/2006/relationships/hyperlink" TargetMode="External"></Relationship><Relationship Id="rId30" Target="http://news.hndaily.cn/h5/html5/2016-01/06/content_7_12.htm" Type="http://schemas.openxmlformats.org/officeDocument/2006/relationships/hyperlink" TargetMode="External"></Relationship><Relationship Id="rId31" Target="http://rst.gxzf.gov.cn/jlhd/jlhdcjwt/shbz/t5368770.shtml" Type="http://schemas.openxmlformats.org/officeDocument/2006/relationships/hyperlink" TargetMode="External"></Relationship></Relationships>
</file>

<file path=xl/worksheets/_rels/sheet6.xml.rels><?xml version="1.0" encoding="UTF-8" standalone="yes"?>
<Relationships xmlns="http://schemas.openxmlformats.org/package/2006/relationships"><Relationship Id="rId1" Target="http://www.zzsi.com/site-data/sbzx/html/2023/04/23/1466956800.html" Type="http://schemas.openxmlformats.org/officeDocument/2006/relationships/hyperlink" TargetMode="External"></Relationship><Relationship Id="rId2" Target="https://m12333.cn/policy/mecm.html" Type="http://schemas.openxmlformats.org/officeDocument/2006/relationships/hyperlink" TargetMode="External"></Relationship><Relationship Id="rId3" Target="https://sd.dzwww.com/sdnews/201606/t20160613_14450360.htm" Type="http://schemas.openxmlformats.org/officeDocument/2006/relationships/hyperlink" TargetMode="External"></Relationship><Relationship Id="rId4" Target="https://rsj.lf.gov.cn/ecdomain/fileHandle.do?action=read&amp;objectID=20160714101900329&amp;infoChecked=0" Type="http://schemas.openxmlformats.org/officeDocument/2006/relationships/hyperlink" TargetMode="External"></Relationship><Relationship Id="rId5" Target="https://rst.fujian.gov.cn/zw/zfxxgk/zfxxgkml/zyywgz/ldgx/201510/t20151008_922839.htm" Type="http://schemas.openxmlformats.org/officeDocument/2006/relationships/hyperlink" TargetMode="External"></Relationship><Relationship Id="rId6" Target="https://www.jyg.gov.cn/rsj/zwxxgk/zc/gfxwj/shbx/art/2022/art_045e7d30a2604c1c9d671c4b0a10f2c2.html?f_link_type=f_linkinlinenote&amp;flow_extra=eyJpbmxpbmVfZGlzcGxheV9wb3NpdGlvbiI6MCwiZG9jX3Bvc2l0aW9uIjowLCJkb2NfaWQiOiIyOWE0ZDFhOWUwN2EwMTkwLTRhNTQ3ZGIwMDFhOWVjZjMifQ==" Type="http://schemas.openxmlformats.org/officeDocument/2006/relationships/hyperlink" TargetMode="External"></Relationship><Relationship Id="rId7" Target="https://hrss.tj.gov.cn/zhengwugongkai/zhengcezhinan/zxwjnew/202012/t20201206_4491283.html" Type="http://schemas.openxmlformats.org/officeDocument/2006/relationships/hyperlink" TargetMode="External"></Relationship><Relationship Id="rId8" Target="http://www.blyq.gov.cn/jrbl/bmdt/201609/t20160922_1826555.html" Type="http://schemas.openxmlformats.org/officeDocument/2006/relationships/hyperlink" TargetMode="External"></Relationship><Relationship Id="rId9" Target="https://rst.hunan.gov.cn/rst/xxgk/zfxxgknb/201708/t20170810_4387914.html" Type="http://schemas.openxmlformats.org/officeDocument/2006/relationships/hyperlink" TargetMode="External"></Relationship><Relationship Id="rId10" Target="http://www.qinghai.gov.cn/zwgk/system/2016/06/30/010222427.shtml?f_link_type=f_linkinlinenote&amp;flow_extra=eyJkb2NfcG9zaXRpb24iOjAsImRvY19pZCI6IjQ1Mjk2MDc3NDI0YjI1NzEtNzBjZGM1ZTQwZDVkNDBjYiIsImlubGluZV9kaXNwbGF5X3Bvc2l0aW9uIjowfQ==" Type="http://schemas.openxmlformats.org/officeDocument/2006/relationships/hyperlink" TargetMode="External"></Relationship><Relationship Id="rId11" Target="https://www.sxshbzj.cn/newstyle/pub_newsshow.asp?chid=100160&amp;f_link_type=f_linkinlinenote&amp;flow_extra=eyJpbmxpbmVfZGlzcGxheV9wb3NpdGlvbiI6MCwiZG9jX3Bvc2l0aW9uIjowLCJkb2NfaWQiOiJkYjM4MDNmMDY0YzhmZDNkLTJhNjZhZDMzMmVjYjRhZTIifQ==&amp;id=29010233" Type="http://schemas.openxmlformats.org/officeDocument/2006/relationships/hyperlink" TargetMode="External"></Relationship><Relationship Id="rId12" Target="https://www.hlj.gov.cn/hlj/c108036/201611/c00_30644886.shtml" Type="http://schemas.openxmlformats.org/officeDocument/2006/relationships/hyperlink" TargetMode="External"></Relationship><Relationship Id="rId13" Target="http://rsj.wuzhou.gov.cn/zwdt/t523858.shtml?f_link_type=f_linkinlinenote&amp;flow_extra=eyJpbmxpbmVfZGlzcGxheV9wb3NpdGlvbiI6MCwiZG9jX3Bvc2l0aW9uIjowLCJkb2NfaWQiOiI3M2E2ODcyMzVhN2NiOWE0LWE0YWFjZTIwOWNhMzk3OTAifQ==" Type="http://schemas.openxmlformats.org/officeDocument/2006/relationships/hyperlink" TargetMode="External"></Relationship><Relationship Id="rId14" Target="https://www.yncj.gov.cn/cjxzfxxgk/tzgg5614/20160531/259083.html?f_link_type=f_linkinlinenote&amp;flow_extra=eyJpbmxpbmVfZGlzcGxheV9wb3NpdGlvbiI6MCwiZG9jX3Bvc2l0aW9uIjowLCJkb2NfaWQiOiI5MDQ5MzI0NTJlNmRjMzM5LWMwOWM0YjExOGFhY2YxMTIifQ==" Type="http://schemas.openxmlformats.org/officeDocument/2006/relationships/hyperlink" TargetMode="External"></Relationship><Relationship Id="rId15" Target="https://rsj.luan.gov.cn/rsgz/shbz/gsbxian/zcwj/2759001.html" Type="http://schemas.openxmlformats.org/officeDocument/2006/relationships/hyperlink" TargetMode="External"></Relationship><Relationship Id="rId16" Target="https://rst.shanxi.gov.cn/ztzl/shbxj/gzdt_565/201606/P020211027660767310006.pdf" Type="http://schemas.openxmlformats.org/officeDocument/2006/relationships/hyperlink" TargetMode="External"></Relationship><Relationship Id="rId17" Target="https://rst.guizhou.gov.cn/zwgk/zdlyxx/sbxx/201711/t20171118_63499881.html?f_link_type=f_linkinlinenote&amp;flow_extra=eyJkb2NfcG9zaXRpb24iOjAsImRvY19pZCI6IjA3YWQyYjg0OTdkYmE2ZTgtNzJmYTEyMGIzYjI1MGE3MCIsImlubGluZV9kaXNwbGF5X3Bvc2l0aW9uIjowfQ==" Type="http://schemas.openxmlformats.org/officeDocument/2006/relationships/hyperlink" TargetMode="External"></Relationship><Relationship Id="rId18" Target="https://m.cq.bendibao.com/news/64730.shtm" Type="http://schemas.openxmlformats.org/officeDocument/2006/relationships/hyperlink" TargetMode="External"></Relationship><Relationship Id="rId19" Target="https://hrss.nx.gov.cn/xxgk/zcj/zcfg/shbz/201607/t20160705_581390.html?f_link_type=f_linkinlinenote&amp;flow_extra=eyJkb2NfaWQiOiJiZGQzZjE4YTU4Mjc5OTI0LTlhY2IwZjg0NWQ1NjJmMTQiLCJpbmxpbmVfZGlzcGxheV9wb3NpdGlvbiI6MCwiZG9jX3Bvc2l0aW9uIjowfQ==" Type="http://schemas.openxmlformats.org/officeDocument/2006/relationships/hyperlink" TargetMode="External"></Relationship><Relationship Id="rId20" Target="https://www.neijiang.gov.cn/njs/ssqk3/201609/f74c1975785646a582c4ae67fd4335ba.shtml?f_link_type=f_linkinlinenote&amp;flow_extra=eyJpbmxpbmVfZGlzcGxheV9wb3NpdGlvbiI6MCwiZG9jX3Bvc2l0aW9uIjowLCJkb2NfaWQiOiI4ZmNmMDUzNmYzOGU1ZTc4LTg1YjdkNGFiYjJjYzQ1ZjAifQ==" Type="http://schemas.openxmlformats.org/officeDocument/2006/relationships/hyperlink" TargetMode="External"></Relationship><Relationship Id="rId21" Target="https://www.beijing.gov.cn/gate/big5/www.beijing.gov.cn/zhengce/zhengcefagui/201905/t20190522_59179.html?f_link_type=f_linkinlinenote&amp;flow_extra=eyJkb2NfcG9zaXRpb24iOjAsImRvY19pZCI6IjNhNGQ4YWY3NTY5MGFjMGQtNzdiNjI2OTU1MDE0M2FiYiIsImlubGluZV9kaXNwbGF5X3Bvc2l0aW9uIjowfQ==" Type="http://schemas.openxmlformats.org/officeDocument/2006/relationships/hyperlink" TargetMode="External"></Relationship><Relationship Id="rId22" Target="https://rsj.sh.gov.cn/tmsztc_17502/20200617/t0035_1378706.html" Type="http://schemas.openxmlformats.org/officeDocument/2006/relationships/hyperlink" TargetMode="External"></Relationship><Relationship Id="rId23" Target="https://www.xizang.gov.cn/zwgk/xxfb/zcjd_435/201901/t20190117_52742.html" Type="http://schemas.openxmlformats.org/officeDocument/2006/relationships/hyperlink" TargetMode="External"></Relationship><Relationship Id="rId24" Target="https://rst.xinjiang.gov.cn/xjrst/c112710/201607/880f5c1f76fd4200af0b8ce3b59b6fcd.shtml" Type="http://schemas.openxmlformats.org/officeDocument/2006/relationships/hyperlink" TargetMode="External"></Relationship><Relationship Id="rId25" Target="https://m.wh.bendibao.com/live/81114.shtm" Type="http://schemas.openxmlformats.org/officeDocument/2006/relationships/hyperlink" TargetMode="External"></Relationship><Relationship Id="rId26" Target="https://rsj.nanjing.gov.cn/njsrlzyhshbzj/201810/t20181021_540337.html?f_link_type=f_linkinlinenote&amp;flow_extra=eyJpbmxpbmVfZGlzcGxheV9wb3NpdGlvbiI6MCwiZG9jX3Bvc2l0aW9uIjowLCJkb2NfaWQiOiIzM2ZlMTJiZmM5YTRmYzgxLTJlZDZiM2FhNjA2YmU2ZjUifQ==" Type="http://schemas.openxmlformats.org/officeDocument/2006/relationships/hyperlink" TargetMode="External"></Relationship><Relationship Id="rId27" Target="https://guangdong.chinatax.gov.cn/gdsw/ssfggds/2016-03/28/content_e05c85bd497d465b9b7ba153a387585b.shtml" Type="http://schemas.openxmlformats.org/officeDocument/2006/relationships/hyperlink" TargetMode="External"></Relationship><Relationship Id="rId28" Target="https://rsj.haikou.gov.cn/xxgk/zcfg/bmzcwj/201703/t770936.shtml?f_link_type=f_linkinlinenote&amp;flow_extra=eyJpbmxpbmVfZGlzcGxheV9wb3NpdGlvbiI6MCwiZG9jX3Bvc2l0aW9uIjowLCJkb2NfaWQiOiJhY2VhMTRiMGY0M2ZlZTIzLWQzMmY3MDc3MDliNDUwNjcifQ==" Type="http://schemas.openxmlformats.org/officeDocument/2006/relationships/hyperlink" TargetMode="External"></Relationship><Relationship Id="rId29" Target="https://news.cnjiwang.com/jlxwdt/jl/201606/2090083.html" Type="http://schemas.openxmlformats.org/officeDocument/2006/relationships/hyperlink" TargetMode="External"></Relationship><Relationship Id="rId30" Target="https://hrss.wenzhou.gov.cn/art/2016/7/5/art_1330450_7593943.html" Type="http://schemas.openxmlformats.org/officeDocument/2006/relationships/hyperlink" TargetMode="External"></Relationship><Relationship Id="rId31" Target="https://jx.cnr.cn/caijing/cjyw/20160107/t20160107_521057610.shtml" Type="http://schemas.openxmlformats.org/officeDocument/2006/relationships/hyperlink" TargetMode="External"></Relationship></Relationships>
</file>

<file path=xl/worksheets/_rels/sheet7.xml.rels><?xml version="1.0" encoding="UTF-8" standalone="yes"?>
<Relationships xmlns="http://schemas.openxmlformats.org/package/2006/relationships"><Relationship Id="rId1" Target="https://rsj.luan.gov.cn/rsgz/shbz/gsbxian/zcwj/2759001.html" Type="http://schemas.openxmlformats.org/officeDocument/2006/relationships/hyperlink" TargetMode="External"></Relationship><Relationship Id="rId2" Target="https://m.cq.bendibao.com/news/64730.shtm" Type="http://schemas.openxmlformats.org/officeDocument/2006/relationships/hyperlink" TargetMode="External"></Relationship><Relationship Id="rId3" Target="https://m12333.cn/policy/mecm.html" Type="http://schemas.openxmlformats.org/officeDocument/2006/relationships/hyperlink" TargetMode="External"></Relationship><Relationship Id="rId4" Target="https://guangdong.chinatax.gov.cn/gdsw/ssfggds/2016-03/28/content_e05c85bd497d465b9b7ba153a387585b.shtml" Type="http://schemas.openxmlformats.org/officeDocument/2006/relationships/hyperlink" TargetMode="External"></Relationship><Relationship Id="rId5" Target="https://rsj.lf.gov.cn/ecdomain/fileHandle.do?action=read&amp;objectID=20160714101900329&amp;infoChecked=0" Type="http://schemas.openxmlformats.org/officeDocument/2006/relationships/hyperlink" TargetMode="External"></Relationship><Relationship Id="rId6" Target="https://m.wh.bendibao.com/live/81114.shtm" Type="http://schemas.openxmlformats.org/officeDocument/2006/relationships/hyperlink" TargetMode="External"></Relationship><Relationship Id="rId7" Target="http://www.zzsi.com/site-data/sbzx/html/2023/04/23/1466956800.html" Type="http://schemas.openxmlformats.org/officeDocument/2006/relationships/hyperlink" TargetMode="External"></Relationship><Relationship Id="rId8" Target="https://www.google.com/search?q=https://www.yncj.gov.cn/cjxzfxxgk/tzgg5614/20160531/259083.html" Type="http://schemas.openxmlformats.org/officeDocument/2006/relationships/hyperlink" TargetMode="External"></Relationship><Relationship Id="rId9" Target="https://rst.xinjiang.gov.cn/xjrst/c112710/201607/880f5c1f76fd4200af0b8ce3b59b6fcd.shtml" Type="http://schemas.openxmlformats.org/officeDocument/2006/relationships/hyperlink" TargetMode="External"></Relationship><Relationship Id="rId10" Target="https://www.google.com/search?q=https://www.neijiang.gov.cn/njs/ssqk3/201609/f74c1975785646a582c4ae67fd4335ba.shtml" Type="http://schemas.openxmlformats.org/officeDocument/2006/relationships/hyperlink" TargetMode="External"></Relationship><Relationship Id="rId11" Target="https://jx.cnr.cn/caijing/cjyw/20160107/t20160107_521057610.shtml" Type="http://schemas.openxmlformats.org/officeDocument/2006/relationships/hyperlink" TargetMode="External"></Relationship><Relationship Id="rId12" Target="https://www.beijing.gov.cn/gate/big5/www.beijing.gov.cn/zhengce/zhengcefagui/201905/t20190522_59179.html" Type="http://schemas.openxmlformats.org/officeDocument/2006/relationships/hyperlink" TargetMode="External"></Relationship><Relationship Id="rId13" Target="https://www.google.com/search?q=http://rsj.wuzhou.gov.cn/zwdt/t523858.shtml" Type="http://schemas.openxmlformats.org/officeDocument/2006/relationships/hyperlink" TargetMode="External"></Relationship><Relationship Id="rId14" Target="http://www.blyq.gov.cn/jrbl/bmdt/201609/t20160922_1826555.html" Type="http://schemas.openxmlformats.org/officeDocument/2006/relationships/hyperlink" TargetMode="External"></Relationship><Relationship Id="rId15" Target="https://hrss.wenzhou.gov.cn/art/2016/7/5/art_1330450_7593943.html" Type="http://schemas.openxmlformats.org/officeDocument/2006/relationships/hyperlink" TargetMode="External"></Relationship><Relationship Id="rId16" Target="https://rsj.sh.gov.cn/tmsztc_17502/20200617/t0035_1378706.html" Type="http://schemas.openxmlformats.org/officeDocument/2006/relationships/hyperlink" TargetMode="External"></Relationship><Relationship Id="rId17" Target="https://www.google.com/search?q=http://www.qinghai.gov.cn/zwgk/system/2016/06/30/010222427.shtml" Type="http://schemas.openxmlformats.org/officeDocument/2006/relationships/hyperlink" TargetMode="External"></Relationship><Relationship Id="rId18" Target="https://www.hlj.gov.cn/hlj/c108036/201611/c00_30644886.shtml" Type="http://schemas.openxmlformats.org/officeDocument/2006/relationships/hyperlink" TargetMode="External"></Relationship><Relationship Id="rId19" Target="https://www.google.com/search?q=https://www.jyg.gov.cn/rsj/zwxxgk/zc/gfxwj/shbx/art/2022/art_045e7d30a2604c1c9d671c4b0a10f2c2.html" Type="http://schemas.openxmlformats.org/officeDocument/2006/relationships/hyperlink" TargetMode="External"></Relationship><Relationship Id="rId20" Target="https://rst.fujian.gov.cn/zw/zfxxgk/zfxxgkml/zyywgz/ldgx/201510/t20151008_922839.htm" Type="http://schemas.openxmlformats.org/officeDocument/2006/relationships/hyperlink" TargetMode="External"></Relationship><Relationship Id="rId21" Target="https://www.xizang.gov.cn/zwgk/xxfb/zcjd_435/201901/t20190117_52742.html" Type="http://schemas.openxmlformats.org/officeDocument/2006/relationships/hyperlink" TargetMode="External"></Relationship><Relationship Id="rId22" Target="https://sd.dzwww.com/sdnews/201606/t20160613_14450360.htm" Type="http://schemas.openxmlformats.org/officeDocument/2006/relationships/hyperlink" TargetMode="External"></Relationship><Relationship Id="rId23" Target="https://hrss.tj.gov.cn/zhengwugongkai/zhengcezhinan/zxwjnew/202012/t20201206_4491283.html" Type="http://schemas.openxmlformats.org/officeDocument/2006/relationships/hyperlink" TargetMode="External"></Relationship><Relationship Id="rId24" Target="https://rst.hunan.gov.cn/rst/xxgk/zfxxgknb/201708/t20170810_4387914.html" Type="http://schemas.openxmlformats.org/officeDocument/2006/relationships/hyperlink" TargetMode="External"></Relationship><Relationship Id="rId25" Target="https://news.cnjiwang.com/jlxwdt/jl/201606/2090083.html" Type="http://schemas.openxmlformats.org/officeDocument/2006/relationships/hyperlink" TargetMode="External"></Relationship><Relationship Id="rId26" Target="https://www.google.com/search?q=https://www.sxshbzj.cn/newstyle/pub_newsshow.asp?chid=100160&amp;id=29010233" Type="http://schemas.openxmlformats.org/officeDocument/2006/relationships/hyperlink" TargetMode="External"></Relationship><Relationship Id="rId27" Target="https://rst.shanxi.gov.cn/ztzl/shbxj/gzdt_565/201606/P020211027660767310006.pdf" Type="http://schemas.openxmlformats.org/officeDocument/2006/relationships/hyperlink" TargetMode="External"></Relationship><Relationship Id="rId28" Target="https://hrss.nx.gov.cn/xxgk/zcj/zcfg/shbz/201607/t20160705_581390.html" Type="http://schemas.openxmlformats.org/officeDocument/2006/relationships/hyperlink" TargetMode="External"></Relationship><Relationship Id="rId29" Target="https://www.google.com/search?q=https://rst.guizhou.gov.cn/zwgk/zdlyxx/sbxx/201711/t20171118_63499881.html" Type="http://schemas.openxmlformats.org/officeDocument/2006/relationships/hyperlink" TargetMode="External"></Relationship><Relationship Id="rId30" Target="https://www.google.com/search?q=https://rsj.nanjing.gov.cn/njsrlzyhshbzj/201810/t20181021_540337.html" Type="http://schemas.openxmlformats.org/officeDocument/2006/relationships/hyperlink" TargetMode="External"></Relationship><Relationship Id="rId31" Target="https://www.google.com/search?q=https://rsj.haikou.gov.cn/xxgk/zcfg/bmzcwj/201703/t770936.shtml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</cols>
  <sheetData>
    <row r="1">
      <c r="A1" s="4" t="str">
        <v>省名</v>
      </c>
      <c r="B1" s="1" t="str">
        <v>社平工资（年）</v>
      </c>
      <c r="C1" s="1" t="str">
        <v>缴费指数（下限）</v>
      </c>
      <c r="D1" s="1" t="str">
        <v>缴费指数（上限）</v>
      </c>
      <c r="E1" s="1" t="str">
        <v>缴费基数（年，下限）</v>
      </c>
      <c r="F1" s="1" t="str">
        <v>缴费基数（年，上限）</v>
      </c>
      <c r="G1" s="1" t="str">
        <v>可选档次规则</v>
      </c>
      <c r="H1" s="1" t="str">
        <v>缴费比例</v>
      </c>
      <c r="I1" s="1" t="str">
        <v>缴费金额（年，下限）</v>
      </c>
      <c r="J1" s="1" t="str">
        <v>缴费金额（年，上限）</v>
      </c>
      <c r="K1" s="2"/>
      <c r="L1" s="1" t="str">
        <v>选档规则</v>
      </c>
      <c r="M1" s="1" t="str">
        <v>缴费档次与补贴明细（年，分档次）</v>
      </c>
      <c r="N1" s="1" t="str">
        <v>基础养老金（年）</v>
      </c>
      <c r="O1" s="1" t="str">
        <v>最低缴费金额（年）</v>
      </c>
      <c r="P1" s="2"/>
      <c r="Q1" s="3"/>
      <c r="R1" s="3"/>
      <c r="S1" s="3"/>
      <c r="T1" s="3"/>
    </row>
    <row r="2">
      <c r="A2" s="7" t="str">
        <v>北京市</v>
      </c>
      <c r="B2">
        <f>7086*12</f>
      </c>
      <c r="C2" s="8">
        <v>0.4</v>
      </c>
      <c r="D2" s="8">
        <v>1</v>
      </c>
      <c r="E2">
        <f>B2*C2</f>
      </c>
      <c r="F2">
        <f>B2*D2</f>
      </c>
      <c r="G2" s="9" t="str">
        <v>固定档次：40%，60%，100%</v>
      </c>
      <c r="H2" s="11">
        <v>0.2</v>
      </c>
      <c r="I2">
        <f>E2*H2</f>
      </c>
      <c r="J2">
        <f>F2*H2</f>
      </c>
      <c r="L2" s="10" t="str">
        <v>区间自选</v>
      </c>
      <c r="M2" s="10" t="str">
        <v>[1000,2000) 补 60, [2000,7420) 补 90</v>
      </c>
      <c r="N2">
        <v>510</v>
      </c>
      <c r="O2" s="6">
        <v>940</v>
      </c>
    </row>
    <row r="3">
      <c r="A3" s="7" t="str">
        <v>天津市</v>
      </c>
      <c r="B3" s="12">
        <f>6350*12</f>
      </c>
      <c r="C3" s="8">
        <v>0.46</v>
      </c>
      <c r="D3" s="8">
        <v>1</v>
      </c>
      <c r="E3">
        <f>B3*C3</f>
      </c>
      <c r="F3">
        <f>B3*D3</f>
      </c>
      <c r="G3" s="9" t="str">
        <v>自愿选择合适档次</v>
      </c>
      <c r="H3" s="11">
        <v>0.2</v>
      </c>
      <c r="I3">
        <f>E3*H3</f>
      </c>
      <c r="J3">
        <f>F3*H3</f>
      </c>
      <c r="L3" s="10" t="str">
        <v>固定档次自选</v>
      </c>
      <c r="M3" s="10" t="str">
        <v>600 补 60，900 补 70，1200 补 80，1500 补 90，1800 补 100，2100 补 110，2400 补 120，2700 补 130，3000 补 140，3300 补 150</v>
      </c>
      <c r="N3">
        <v>261</v>
      </c>
      <c r="O3" s="6">
        <v>540</v>
      </c>
    </row>
    <row r="4">
      <c r="A4" s="7" t="str">
        <v>河北省</v>
      </c>
      <c r="B4">
        <v>52409</v>
      </c>
      <c r="C4" s="8">
        <v>0.4</v>
      </c>
      <c r="D4" s="8">
        <v>3</v>
      </c>
      <c r="E4">
        <f>B4*C4</f>
      </c>
      <c r="F4">
        <f>B4*D4</f>
      </c>
      <c r="G4" s="9" t="str">
        <v>固定档次：40%，60%，100%，200%，300%</v>
      </c>
      <c r="H4" s="11">
        <v>0.2</v>
      </c>
      <c r="I4">
        <f>E4*H4</f>
      </c>
      <c r="J4">
        <f>F4*H4</f>
      </c>
      <c r="L4" s="10" t="str">
        <v>固定档次自选</v>
      </c>
      <c r="M4" s="10" t="str">
        <v>100 补 30，200 补 30，300 补 30，400 补 30，500 补 60，600 补 60，700 补 60，800 补 60，900 补 60，1000 补 60，1500 补 60，2000 补 60，3000 补 60</v>
      </c>
      <c r="N4">
        <v>80</v>
      </c>
      <c r="O4" s="6">
        <v>70</v>
      </c>
    </row>
    <row r="5">
      <c r="A5" s="7" t="str">
        <v>山西省</v>
      </c>
      <c r="B5">
        <v>52960</v>
      </c>
      <c r="C5" s="8">
        <v>0.4</v>
      </c>
      <c r="D5" s="8">
        <v>1</v>
      </c>
      <c r="E5">
        <f>B5*C5</f>
      </c>
      <c r="F5">
        <f>B5*D5</f>
      </c>
      <c r="G5" s="9" t="str">
        <v>固定档次：40%，60%，100%</v>
      </c>
      <c r="H5" s="11">
        <v>0.2</v>
      </c>
      <c r="I5">
        <f>E5*H5</f>
      </c>
      <c r="J5">
        <f>F5*H5</f>
      </c>
      <c r="L5" s="10" t="str">
        <v>固定档次自选</v>
      </c>
      <c r="M5" s="10" t="str">
        <v>100 补 30，200 补 35，300 补 40，400 补 50，500 补 60，600 补 60，700 补 70，800 补 70，900 补 70，1000 补 80，1500 补 80，2000 补 80</v>
      </c>
      <c r="N5">
        <v>80</v>
      </c>
      <c r="O5" s="6">
        <v>70</v>
      </c>
    </row>
    <row r="6">
      <c r="A6" s="7" t="str">
        <v>内蒙古自治区</v>
      </c>
      <c r="B6">
        <v>57870</v>
      </c>
      <c r="C6" s="8">
        <v>0.5</v>
      </c>
      <c r="D6" s="8">
        <v>3</v>
      </c>
      <c r="E6">
        <f>B6*C6</f>
      </c>
      <c r="F6">
        <f>B6*D6</f>
      </c>
      <c r="G6" s="9" t="str">
        <v>固定档次：50%，60%，80%，100%，200%，300%</v>
      </c>
      <c r="H6" s="11">
        <v>0.2</v>
      </c>
      <c r="I6">
        <f>E6*H6</f>
      </c>
      <c r="J6">
        <f>F6*H6</f>
      </c>
      <c r="L6" s="10" t="str">
        <v>固定档次自选</v>
      </c>
      <c r="M6" s="10" t="str">
        <v>100 补 30，200 补 35，300 补 40，400 补 45，500 补 60，600 补 65，700 补 70，800 补 75，900 补 80，1000 补 85，1500 补 85，2000 补 85，3000 补 85</v>
      </c>
      <c r="N6">
        <v>90</v>
      </c>
      <c r="O6" s="6">
        <v>70</v>
      </c>
    </row>
    <row r="7">
      <c r="A7" s="7" t="str">
        <v>辽宁省</v>
      </c>
      <c r="B7">
        <v>53458</v>
      </c>
      <c r="C7" s="8">
        <v>0.6</v>
      </c>
      <c r="D7" s="8">
        <v>3</v>
      </c>
      <c r="E7">
        <f>B7*C7</f>
      </c>
      <c r="F7">
        <f>B7*D7</f>
      </c>
      <c r="G7" s="9" t="str">
        <v>固定档次：60%，70%，80%，90%，100%，200%，300%</v>
      </c>
      <c r="H7" s="11">
        <v>0.2</v>
      </c>
      <c r="I7">
        <f>E7*H7</f>
      </c>
      <c r="J7">
        <f>F7*H7</f>
      </c>
      <c r="L7" s="10" t="str">
        <v>固定档次自选</v>
      </c>
      <c r="M7" s="10" t="str">
        <v>100 补 30，200 补 40，300 补 50，400 补 60，500 补 70，600 补 80，700 补 90，800 补 100，900 补 110，1000 补 120，1500 补 150，2000 补 170</v>
      </c>
      <c r="N7">
        <v>85</v>
      </c>
      <c r="O7" s="6">
        <v>70</v>
      </c>
    </row>
    <row r="8">
      <c r="A8" s="7" t="str">
        <v>吉林省</v>
      </c>
      <c r="B8">
        <v>51558</v>
      </c>
      <c r="C8" s="8">
        <v>0.6</v>
      </c>
      <c r="D8" s="8">
        <v>1.2</v>
      </c>
      <c r="E8">
        <f>B8*C8</f>
      </c>
      <c r="F8">
        <f>B8*D8</f>
      </c>
      <c r="G8" s="9" t="str">
        <v>固定档次：60%，80%，100%，110%，120%</v>
      </c>
      <c r="H8" s="11">
        <v>0.2</v>
      </c>
      <c r="I8">
        <f>E8*H8</f>
      </c>
      <c r="J8">
        <f>F8*H8</f>
      </c>
      <c r="L8" s="10" t="str">
        <v>固定档次自选</v>
      </c>
      <c r="M8" s="10" t="str">
        <v>100 补 30，200 补 40，300 补 50，400 补 60，500 补 70，600 补 80，700 补 90，800 补 100，900 补 110，1000 补 120，1500 补 145，2000 补 170</v>
      </c>
      <c r="N8">
        <v>80</v>
      </c>
      <c r="O8" s="6">
        <v>70</v>
      </c>
    </row>
    <row r="9">
      <c r="A9" s="7" t="str">
        <v>黑龙江省</v>
      </c>
      <c r="B9">
        <v>47040</v>
      </c>
      <c r="C9" s="8">
        <v>0.6</v>
      </c>
      <c r="D9" s="8">
        <v>1</v>
      </c>
      <c r="E9">
        <f>B9*C9</f>
      </c>
      <c r="F9">
        <f>B9*D9</f>
      </c>
      <c r="G9" s="9" t="str">
        <v>固定档次：60%，70%，80%，90%，100%</v>
      </c>
      <c r="H9" s="11">
        <v>0.2</v>
      </c>
      <c r="I9">
        <f>E9*H9</f>
      </c>
      <c r="J9">
        <f>F9*H9</f>
      </c>
      <c r="L9" s="10" t="str">
        <v>固定档次自选</v>
      </c>
      <c r="M9" s="5" t="str">
        <v>100 补 30，200 补 40，300 补 50，400 补 60，500 补 70，600 补 70，700 补 70，800 补 70，900 补 70，1000 补 70，1500 补 70，2000 补 70</v>
      </c>
      <c r="N9">
        <v>70</v>
      </c>
      <c r="O9" s="6">
        <v>70</v>
      </c>
    </row>
    <row r="10">
      <c r="A10" s="7" t="str">
        <v>上海市</v>
      </c>
      <c r="B10">
        <v>71268</v>
      </c>
      <c r="C10" s="8">
        <v>0.6</v>
      </c>
      <c r="D10" s="8">
        <v>3</v>
      </c>
      <c r="E10">
        <f>B10*C10</f>
      </c>
      <c r="F10">
        <f>B10*D10</f>
      </c>
      <c r="G10" s="9" t="str">
        <v>自愿选择合适档次</v>
      </c>
      <c r="H10" s="11">
        <v>0.28</v>
      </c>
      <c r="I10">
        <f>E10*H10</f>
      </c>
      <c r="J10">
        <f>F10*H10</f>
      </c>
      <c r="L10" s="10" t="str">
        <v>固定档次自选</v>
      </c>
      <c r="M10" s="5" t="str">
        <v>500 补 200，700 补 250，900 补 300，1100 补 350，1300 补 400，1500 补 425，1700 补 450，1900 补 475，2100 补 500，2300 补 525，2800 补 550，3300 补 575</v>
      </c>
      <c r="N10">
        <v>750</v>
      </c>
      <c r="O10" s="6">
        <v>300</v>
      </c>
    </row>
    <row r="11">
      <c r="A11" s="7" t="str">
        <v>江苏省</v>
      </c>
      <c r="B11">
        <v>67200</v>
      </c>
      <c r="C11" s="8">
        <v>0.6</v>
      </c>
      <c r="D11" s="8">
        <v>3</v>
      </c>
      <c r="E11">
        <f>B11*C11</f>
      </c>
      <c r="F11">
        <f>B11*D11</f>
      </c>
      <c r="G11" s="9" t="str">
        <v>自愿选择合适档次</v>
      </c>
      <c r="H11" s="11">
        <v>0.2</v>
      </c>
      <c r="I11">
        <f>E11*H11</f>
      </c>
      <c r="J11">
        <f>F11*H11</f>
      </c>
      <c r="L11" s="10" t="str">
        <v>固定档次自选</v>
      </c>
      <c r="M11" s="5" t="str">
        <v>100 补 30，200 补 30，300 补 40，400 补 40，500 补 60，600 补 60，700 补 60，800 补 60，900 补 60，1000 补 80，1500 补 100，2000 补 120，2500 补 140，3000 补 160</v>
      </c>
      <c r="N11">
        <v>115</v>
      </c>
      <c r="O11" s="6">
        <v>70</v>
      </c>
    </row>
    <row r="12">
      <c r="A12" s="7" t="str">
        <v>浙江省</v>
      </c>
      <c r="B12">
        <v>51719</v>
      </c>
      <c r="C12" s="8">
        <v>0.8</v>
      </c>
      <c r="D12" s="8">
        <v>3</v>
      </c>
      <c r="E12">
        <f>B12*C12</f>
      </c>
      <c r="F12">
        <f>B12*D12</f>
      </c>
      <c r="G12" s="9" t="str">
        <v>自愿选择合适档次</v>
      </c>
      <c r="H12" s="11">
        <v>0.18</v>
      </c>
      <c r="I12">
        <f>E12*H12</f>
      </c>
      <c r="J12">
        <f>F12*H12</f>
      </c>
      <c r="L12" s="10" t="str">
        <v>固定档次自选</v>
      </c>
      <c r="M12" s="5" t="str">
        <v>100 补 30，500 补 80，700 补 90，900 补 100，1200 补 110，1500 补 120，2000 补 130</v>
      </c>
      <c r="N12">
        <v>120</v>
      </c>
      <c r="O12" s="6">
        <v>70</v>
      </c>
    </row>
    <row r="13">
      <c r="A13" s="7" t="str">
        <v>安徽省</v>
      </c>
      <c r="B13">
        <v>56974</v>
      </c>
      <c r="C13" s="8">
        <v>0.6</v>
      </c>
      <c r="D13" s="8">
        <v>1</v>
      </c>
      <c r="E13">
        <f>B13*C13</f>
      </c>
      <c r="F13">
        <f>B13*D13</f>
      </c>
      <c r="G13" s="9" t="str">
        <v>固定档次：60%，70%，80%，90%，100%</v>
      </c>
      <c r="H13" s="11">
        <v>0.2</v>
      </c>
      <c r="I13">
        <f>E13*H13</f>
      </c>
      <c r="J13">
        <f>F13*H13</f>
      </c>
      <c r="L13" s="10" t="str">
        <v>固定档次自选</v>
      </c>
      <c r="M13" s="5" t="str">
        <v>100 补 35，200 补 40，300 补 45，400 补 50，500 补 60，600 补 60，700 补 60，800 补 60，900 补 60，1000 补 60，1500 补 60，2000 补 60，3000 补 60</v>
      </c>
      <c r="N13">
        <v>70</v>
      </c>
      <c r="O13" s="6">
        <v>65</v>
      </c>
    </row>
    <row r="14">
      <c r="A14" s="7" t="str">
        <v>福建省</v>
      </c>
      <c r="B14">
        <v>25200</v>
      </c>
      <c r="C14" s="8">
        <v>0.6</v>
      </c>
      <c r="D14" s="8">
        <v>3</v>
      </c>
      <c r="E14">
        <f>B14*C14</f>
      </c>
      <c r="F14">
        <f>B14*D14</f>
      </c>
      <c r="G14" s="9" t="str">
        <v>自愿选择合适档次</v>
      </c>
      <c r="H14" s="11">
        <v>0.2</v>
      </c>
      <c r="I14">
        <f>E14*H14</f>
      </c>
      <c r="J14">
        <f>F14*H14</f>
      </c>
      <c r="L14" s="10" t="str">
        <v>固定档次自选</v>
      </c>
      <c r="M14" s="5" t="str">
        <v>100 补 30，200 补 40，300 补 50，400 补 60，500 补 70，600 补 80，700 补 90，800 补 100，900 补 100，1000 补 100，1100 补 100，1200 补 100，1300 补 100，1400 补 100，1500 补 100，1600 补 100，1700 补 100，1800 补 100，1900 补 100，2000 补 100</v>
      </c>
      <c r="N14">
        <v>100</v>
      </c>
      <c r="O14" s="6">
        <v>70</v>
      </c>
    </row>
    <row r="15">
      <c r="A15" s="7" t="str">
        <v>江西省</v>
      </c>
      <c r="B15">
        <v>50928</v>
      </c>
      <c r="C15" s="8">
        <v>0.6</v>
      </c>
      <c r="D15" s="8">
        <v>3</v>
      </c>
      <c r="E15">
        <f>B15*C15</f>
      </c>
      <c r="F15">
        <f>B15*D15</f>
      </c>
      <c r="G15" s="9" t="str">
        <v>固定档次：60%，80%，100%，200%，300%</v>
      </c>
      <c r="H15" s="11">
        <v>0.2</v>
      </c>
      <c r="I15">
        <f>E15*H15</f>
      </c>
      <c r="J15">
        <f>F15*H15</f>
      </c>
      <c r="L15" s="10" t="str">
        <v>固定档次自选</v>
      </c>
      <c r="M15" s="5" t="str">
        <v>300 补 40，400 补 45，500 补 60，600 补 65，700 补 70，800 补 75，900 补 80，1000 补 85，1500 补 90，2000 补 95</v>
      </c>
      <c r="N15">
        <v>80</v>
      </c>
      <c r="O15" s="6">
        <v>260</v>
      </c>
    </row>
    <row r="16">
      <c r="A16" s="7" t="str">
        <v>山东省</v>
      </c>
      <c r="B16">
        <v>58197</v>
      </c>
      <c r="C16" s="8">
        <v>0.6</v>
      </c>
      <c r="D16" s="8">
        <v>1</v>
      </c>
      <c r="E16">
        <f>B16*C16</f>
      </c>
      <c r="F16">
        <f>B16*D16</f>
      </c>
      <c r="G16" s="9" t="str">
        <v>固定档次：60%，80%，100%</v>
      </c>
      <c r="H16" s="11">
        <v>0.2</v>
      </c>
      <c r="I16">
        <f>E16*H16</f>
      </c>
      <c r="J16">
        <f>F16*H16</f>
      </c>
      <c r="L16" s="10" t="str">
        <v>固定档次自选</v>
      </c>
      <c r="M16" s="5" t="str">
        <v>100 补 30，300 补 30，500 补 60，600 补 60，800 补 60，1000 补 60，1500 补 100，2000 补 100，2500 补 100，3000 补 100，4000 补 100，5000 补 100</v>
      </c>
      <c r="N16">
        <v>100</v>
      </c>
      <c r="O16" s="6">
        <v>70</v>
      </c>
    </row>
    <row r="17">
      <c r="A17" s="7" t="str">
        <v>河南省</v>
      </c>
      <c r="B17">
        <v>45920</v>
      </c>
      <c r="C17" s="8">
        <v>0.6</v>
      </c>
      <c r="D17" s="8">
        <v>3</v>
      </c>
      <c r="E17">
        <f>B17*C17</f>
      </c>
      <c r="F17">
        <f>B17*D17</f>
      </c>
      <c r="G17" s="9" t="str">
        <v>固定档次：60%，100%，200%，300%</v>
      </c>
      <c r="H17" s="11">
        <v>0.2</v>
      </c>
      <c r="I17">
        <f>E17*H17</f>
      </c>
      <c r="J17">
        <f>F17*H17</f>
      </c>
      <c r="L17" s="10" t="str">
        <v>固定档次自选</v>
      </c>
      <c r="M17" s="5" t="str">
        <v>100 补 30，200 补 30，300 补 30，400 补 30，500 补 60，600 补 60，700 补 60，800 补 60，900 补 60，1000 补 60，1500 补 60，2000 补 60，2500 补 60，3000 补 60，4000 补 60，5000 补 60</v>
      </c>
      <c r="N17">
        <v>78</v>
      </c>
      <c r="O17" s="6">
        <v>70</v>
      </c>
    </row>
    <row r="18">
      <c r="A18" s="7" t="str">
        <v>湖北省</v>
      </c>
      <c r="B18">
        <v>55237</v>
      </c>
      <c r="C18" s="8">
        <v>0.5</v>
      </c>
      <c r="D18" s="8">
        <v>3</v>
      </c>
      <c r="E18">
        <f>B18*C18</f>
      </c>
      <c r="F18">
        <f>B18*D18</f>
      </c>
      <c r="G18" s="9" t="str">
        <v>固定档次：50%，60%，80%，100%，200%，300%</v>
      </c>
      <c r="H18" s="11">
        <v>0.2</v>
      </c>
      <c r="I18">
        <f>E18*H18</f>
      </c>
      <c r="J18">
        <f>F18*H18</f>
      </c>
      <c r="L18" s="10" t="str">
        <v>固定档次自选</v>
      </c>
      <c r="M18" s="5" t="str">
        <v>100 补 30，200 补 45，300 补 45，400 补 45，500 补 60，600 补 60，700 补 60，800 补 60，900 补 60，1000 补 60，1500 补 60，2000 补 60</v>
      </c>
      <c r="N18">
        <v>70</v>
      </c>
      <c r="O18" s="6">
        <v>70</v>
      </c>
    </row>
    <row r="19">
      <c r="A19" s="7" t="str">
        <v>湖南省</v>
      </c>
      <c r="B19">
        <v>53889</v>
      </c>
      <c r="C19" s="8">
        <v>0.6</v>
      </c>
      <c r="D19" s="8">
        <v>1</v>
      </c>
      <c r="E19">
        <f>B19*C19</f>
      </c>
      <c r="F19">
        <f>B19*D19</f>
      </c>
      <c r="G19" s="9" t="str">
        <v>固定档次：60%，100%</v>
      </c>
      <c r="H19" s="11">
        <v>0.2</v>
      </c>
      <c r="I19">
        <f>E19*H19</f>
      </c>
      <c r="J19">
        <f>F19*H19</f>
      </c>
      <c r="L19" s="10" t="str">
        <v>固定档次自选</v>
      </c>
      <c r="M19" s="5" t="str">
        <v>100 补 30，200 补 30，300 补 40，400 补 40，500 补 60，600 补 60，700 补 60，800 补 60，900 补 60，1000 补 60，1500 补 60，2000 补 60，2500 补 60，3000 补 60</v>
      </c>
      <c r="N19">
        <v>80</v>
      </c>
      <c r="O19" s="6">
        <v>70</v>
      </c>
    </row>
    <row r="20">
      <c r="A20" s="7" t="str">
        <v>广东省</v>
      </c>
      <c r="B20">
        <v>66300</v>
      </c>
      <c r="C20" s="8">
        <v>0.6</v>
      </c>
      <c r="D20" s="8">
        <v>3</v>
      </c>
      <c r="E20">
        <f>B20*C20</f>
      </c>
      <c r="F20">
        <f>B20*D20</f>
      </c>
      <c r="G20" s="9" t="str">
        <v>自愿选择合适档次</v>
      </c>
      <c r="H20" s="11">
        <v>0.2</v>
      </c>
      <c r="I20">
        <f>E20*H20</f>
      </c>
      <c r="J20">
        <f>F20*H20</f>
      </c>
      <c r="L20" s="10" t="str">
        <v>固定档次自选</v>
      </c>
      <c r="M20" s="5" t="str">
        <v>120 补 30，240 补 30，360 补 30，480 补 60，600 补 60，960 补 60，1200 补 60，1800 补 60，2400 补 60，3600 补 60</v>
      </c>
      <c r="N20">
        <v>110</v>
      </c>
      <c r="O20" s="6">
        <v>90</v>
      </c>
    </row>
    <row r="21">
      <c r="A21" s="7" t="str">
        <v>广西壮族自治区</v>
      </c>
      <c r="B21">
        <v>54983</v>
      </c>
      <c r="C21" s="8">
        <v>0.6</v>
      </c>
      <c r="D21" s="8">
        <v>1</v>
      </c>
      <c r="E21">
        <f>B21*C21</f>
      </c>
      <c r="F21">
        <f>B21*D21</f>
      </c>
      <c r="G21" s="9" t="str">
        <v>固定档次：60%，70%，80%，90%，100%</v>
      </c>
      <c r="H21" s="11">
        <v>0.2</v>
      </c>
      <c r="I21">
        <f>E21*H21</f>
      </c>
      <c r="J21">
        <f>F21*H21</f>
      </c>
      <c r="L21" s="10" t="str">
        <v>固定档次自选</v>
      </c>
      <c r="M21" s="5" t="str">
        <v>100 补 30，200 补 40，300 补 50，400 补 55，500 补 60，600 补 65，700 补 70，800 补 75，900 补 80，1000 补 80，1500 补 80，2000 补 80</v>
      </c>
      <c r="N21">
        <v>90</v>
      </c>
      <c r="O21" s="6">
        <v>70</v>
      </c>
    </row>
    <row r="22">
      <c r="A22" s="7" t="str">
        <v>海南省</v>
      </c>
      <c r="B22">
        <v>58406</v>
      </c>
      <c r="C22" s="8">
        <v>0.6</v>
      </c>
      <c r="D22" s="8">
        <v>3</v>
      </c>
      <c r="E22">
        <f>B22*C22</f>
      </c>
      <c r="F22">
        <f>B22*D22</f>
      </c>
      <c r="G22" s="9" t="str">
        <v>自愿选择合适档次</v>
      </c>
      <c r="H22" s="11">
        <v>0.2</v>
      </c>
      <c r="I22">
        <f>E22*H22</f>
      </c>
      <c r="J22">
        <f>F22*H22</f>
      </c>
      <c r="L22" s="10" t="str">
        <v>固定档次自选</v>
      </c>
      <c r="M22" s="5" t="str">
        <v>100 补 30，200 补 40，300 补 50，400 补 60，500 补 70，600 补 80，700 补 90，800 补 100，900 补 110，1000 补 120，1500 补 130，2000 补 140，3000 补 150</v>
      </c>
      <c r="N22">
        <v>145</v>
      </c>
      <c r="O22" s="6">
        <v>70</v>
      </c>
    </row>
    <row r="23">
      <c r="A23" s="7" t="str">
        <v>重庆市</v>
      </c>
      <c r="B23">
        <v>62100</v>
      </c>
      <c r="C23" s="8">
        <v>0.6</v>
      </c>
      <c r="D23" s="8">
        <v>1</v>
      </c>
      <c r="E23">
        <f>B23*C23</f>
      </c>
      <c r="F23">
        <f>B23*D23</f>
      </c>
      <c r="G23" s="9" t="str">
        <v>自愿选择合适档次</v>
      </c>
      <c r="H23" s="11">
        <v>0.2</v>
      </c>
      <c r="I23">
        <f>E23*H23</f>
      </c>
      <c r="J23">
        <f>F23*H23</f>
      </c>
      <c r="L23" s="10" t="str">
        <v>固定档次自选</v>
      </c>
      <c r="M23" s="5" t="str">
        <v>100 补 30，200 补 40，300 补 50，400 补 60，500 补 70，600 补 80，700 补 90，800 补 100，900 补 110，1000 补 120，1500 补 130，2000 补 140</v>
      </c>
      <c r="N23">
        <v>95</v>
      </c>
      <c r="O23" s="6">
        <v>70</v>
      </c>
    </row>
    <row r="24">
      <c r="A24" s="7" t="str">
        <v>四川省</v>
      </c>
      <c r="B24">
        <v>60516</v>
      </c>
      <c r="C24" s="8">
        <v>0.4</v>
      </c>
      <c r="D24" s="8">
        <v>1</v>
      </c>
      <c r="E24">
        <f>B24*C24</f>
      </c>
      <c r="F24">
        <f>B24*D24</f>
      </c>
      <c r="G24" s="9" t="str">
        <v>固定档次：40%，50%，60%，70%，80%，90%，100%</v>
      </c>
      <c r="H24" s="11">
        <v>0.2</v>
      </c>
      <c r="I24">
        <f>E24*H24</f>
      </c>
      <c r="J24">
        <f>F24*H24</f>
      </c>
      <c r="L24" s="10" t="str">
        <v>固定档次自选</v>
      </c>
      <c r="M24" s="5" t="str">
        <v>100 补 40，200 补 40，300 补 45，400 补 50，500 补 60，600 补 60，700 补 65，800 补 70，900 补 75，1000 补 80，1500 补 100，2000 补 120，3000 补 160</v>
      </c>
      <c r="N24">
        <v>75</v>
      </c>
      <c r="O24" s="6">
        <v>60</v>
      </c>
    </row>
    <row r="25">
      <c r="A25" s="7" t="str">
        <v>贵州省</v>
      </c>
      <c r="B25">
        <v>54637</v>
      </c>
      <c r="C25" s="8">
        <v>0.4</v>
      </c>
      <c r="D25" s="8">
        <v>3</v>
      </c>
      <c r="E25">
        <f>B25*C25</f>
      </c>
      <c r="F25">
        <f>B25*D25</f>
      </c>
      <c r="G25" s="9" t="str">
        <v>自愿选择合适档次</v>
      </c>
      <c r="H25" s="11">
        <v>0.2</v>
      </c>
      <c r="I25">
        <f>E25*H25</f>
      </c>
      <c r="J25">
        <f>F25*H25</f>
      </c>
      <c r="L25" s="10" t="str">
        <v>固定档次自选</v>
      </c>
      <c r="M25" s="5" t="str">
        <v>100 补 30，200 补 30，300 补 30，400 补 30，500 补 60，600 补 60，700 补 60，800 补 60，900 补 60，1000 补 90，1200 补 90，1500 补 90，2000 补 90</v>
      </c>
      <c r="N25">
        <v>70</v>
      </c>
      <c r="O25" s="6">
        <v>70</v>
      </c>
    </row>
    <row r="26">
      <c r="A26" s="7" t="str">
        <v>云南省</v>
      </c>
      <c r="B26">
        <v>55025</v>
      </c>
      <c r="C26" s="8">
        <v>0.4</v>
      </c>
      <c r="D26" s="8">
        <v>1</v>
      </c>
      <c r="E26">
        <f>B26*C26</f>
      </c>
      <c r="F26">
        <f>B26*D26</f>
      </c>
      <c r="G26" s="9" t="str">
        <v>固定档次：40%，60%，100%</v>
      </c>
      <c r="H26" s="11">
        <v>0.2</v>
      </c>
      <c r="I26">
        <f>E26*H26</f>
      </c>
      <c r="J26">
        <f>F26*H26</f>
      </c>
      <c r="L26" s="10" t="str">
        <v>固定档次自选</v>
      </c>
      <c r="M26" s="5" t="str">
        <v>100 补 30，200 补 40，300 补 50，400 补 60，500 补 70，600 补 80，700 补 90，800 补 100，900 补 100，1000 补 100，1500 补 100，2000 补 100</v>
      </c>
      <c r="N26">
        <v>75</v>
      </c>
      <c r="O26" s="6">
        <v>70</v>
      </c>
    </row>
    <row r="27">
      <c r="A27" s="7" t="str">
        <v>西藏自治区</v>
      </c>
      <c r="B27">
        <v>71148</v>
      </c>
      <c r="C27" s="8">
        <v>1</v>
      </c>
      <c r="D27" s="8">
        <v>1</v>
      </c>
      <c r="E27">
        <f>B27*C27</f>
      </c>
      <c r="F27">
        <f>B27*D27</f>
      </c>
      <c r="G27" s="9" t="str">
        <v>固定档次：100%</v>
      </c>
      <c r="H27" s="11">
        <v>0.2</v>
      </c>
      <c r="I27">
        <f>E27*H27</f>
      </c>
      <c r="J27">
        <f>F27*H27</f>
      </c>
      <c r="L27" s="10" t="str">
        <v>固定档次自选</v>
      </c>
      <c r="M27" s="5" t="str">
        <v>100 补 40，200 补 45，300 补 50，400 补 55，500 补 60，600 补 65，700 补 70，800 补 75，900 补 80，1000 补 85，1500 补 90，2000 补 95</v>
      </c>
      <c r="N27">
        <v>150</v>
      </c>
      <c r="O27" s="6">
        <v>60</v>
      </c>
    </row>
    <row r="28">
      <c r="A28" s="7" t="str">
        <v>陕西省</v>
      </c>
      <c r="B28">
        <v>56896</v>
      </c>
      <c r="C28" s="8">
        <v>0.4</v>
      </c>
      <c r="D28" s="8">
        <v>1</v>
      </c>
      <c r="E28">
        <f>B28*C28</f>
      </c>
      <c r="F28">
        <f>B28*D28</f>
      </c>
      <c r="G28" s="9" t="str">
        <v>固定档次：40%，50%，60%，70%，80%，90%，100%</v>
      </c>
      <c r="H28" s="11">
        <v>0.2</v>
      </c>
      <c r="I28">
        <f>E28*H28</f>
      </c>
      <c r="J28">
        <f>F28*H28</f>
      </c>
      <c r="L28" s="10" t="str">
        <v>固定档次自选</v>
      </c>
      <c r="M28" s="5" t="str">
        <v>100 补 30，200 补 30，300 补 40，400 补 45，500 补 60，600 补 65，700 补 70，800 补 75，900 补 80，1000 补 100，1500 补 150，2000 补 200</v>
      </c>
      <c r="N28">
        <v>75</v>
      </c>
      <c r="O28" s="6">
        <v>70</v>
      </c>
    </row>
    <row r="29">
      <c r="A29" s="7" t="str">
        <v>甘肃省</v>
      </c>
      <c r="B29">
        <v>54454</v>
      </c>
      <c r="C29" s="8">
        <v>0.6</v>
      </c>
      <c r="D29" s="8">
        <v>3</v>
      </c>
      <c r="E29">
        <f>B29*C29</f>
      </c>
      <c r="F29">
        <f>B29*D29</f>
      </c>
      <c r="G29" s="9" t="str">
        <v>自愿选择合适档次</v>
      </c>
      <c r="H29" s="11">
        <v>0.2</v>
      </c>
      <c r="I29">
        <f>E29*H29</f>
      </c>
      <c r="J29">
        <f>F29*H29</f>
      </c>
      <c r="L29" s="10" t="str">
        <v>固定档次自选</v>
      </c>
      <c r="M29" s="5" t="str">
        <v>100 补 30，200 补 30，300 补 30，400 补 30，500 补 60，600 补 60，700 补 60，800 补 60，900 补 60，1000 补 60，1500 补 60，2000 补 60</v>
      </c>
      <c r="N29">
        <v>85</v>
      </c>
      <c r="O29" s="6">
        <v>70</v>
      </c>
    </row>
    <row r="30">
      <c r="A30" s="7" t="str">
        <v>青海省</v>
      </c>
      <c r="B30">
        <v>61868</v>
      </c>
      <c r="C30" s="8">
        <v>0.6</v>
      </c>
      <c r="D30" s="8">
        <v>1</v>
      </c>
      <c r="E30">
        <f>B30*C30</f>
      </c>
      <c r="F30">
        <f>B30*D30</f>
      </c>
      <c r="G30" s="9" t="str">
        <v>固定档次：60%，70%，80%，90%，100%</v>
      </c>
      <c r="H30" s="11">
        <v>0.2</v>
      </c>
      <c r="I30">
        <f>E30*H30</f>
      </c>
      <c r="J30">
        <f>F30*H30</f>
      </c>
      <c r="L30" s="10" t="str">
        <v>固定档次自选</v>
      </c>
      <c r="M30" s="5" t="str">
        <v>100 补 30，200 补 40，300 补 50，400 补 60，500 补 70，600 补 85，700 补 100，800 补 115，900 补 130，1000 补 145，1500 补 165，2000 补 185</v>
      </c>
      <c r="N30">
        <v>140</v>
      </c>
      <c r="O30" s="6">
        <v>70</v>
      </c>
    </row>
    <row r="31">
      <c r="A31" s="7" t="str">
        <v>宁夏回族自治区</v>
      </c>
      <c r="B31">
        <v>62482</v>
      </c>
      <c r="C31" s="8">
        <v>0.4</v>
      </c>
      <c r="D31" s="8">
        <v>1</v>
      </c>
      <c r="E31">
        <f>B31*C31</f>
      </c>
      <c r="F31">
        <f>B31*D31</f>
      </c>
      <c r="G31" s="9" t="str">
        <v>固定档次：40%，50%，60%，70%，80%，90%，100%</v>
      </c>
      <c r="H31" s="11">
        <v>0.2</v>
      </c>
      <c r="I31">
        <f>E31*H31</f>
      </c>
      <c r="J31">
        <f>F31*H31</f>
      </c>
      <c r="L31" s="10" t="str">
        <v>固定档次自选</v>
      </c>
      <c r="M31" s="5" t="str">
        <v>100 补 30，200 补 40，300 补 50，400 补 60，500 补 70，600 补 80，700 补 90，800 补 100，900 补 110，1000 补 120，1500 补 160，2000 补 200</v>
      </c>
      <c r="N31">
        <v>115</v>
      </c>
      <c r="O31" s="6">
        <v>70</v>
      </c>
    </row>
    <row r="32">
      <c r="A32" s="7" t="str">
        <v>新疆维吾尔自治区</v>
      </c>
      <c r="B32">
        <v>53004</v>
      </c>
      <c r="C32" s="8">
        <v>0.5</v>
      </c>
      <c r="D32" s="8">
        <v>1</v>
      </c>
      <c r="E32">
        <f>B32*C32</f>
      </c>
      <c r="F32">
        <f>B32*D32</f>
      </c>
      <c r="G32" s="9" t="str">
        <v>固定档次：50%，60%，100%</v>
      </c>
      <c r="H32" s="11">
        <v>0.2</v>
      </c>
      <c r="I32">
        <f>E32*H32</f>
      </c>
      <c r="J32">
        <f>F32*H32</f>
      </c>
      <c r="L32" s="10" t="str">
        <v>固定档次自选</v>
      </c>
      <c r="M32" s="5" t="str">
        <v>100 补 50，200 补 55，300 补 60，400 补 65，500 补 70，600 补 75，700 补 80，800 补 85，900 补 90，1000 补 95，1500 补 100，2000 补 105，2500 补 110，3000 补 115</v>
      </c>
      <c r="N32">
        <v>115</v>
      </c>
      <c r="O32" s="6">
        <v>50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3" min="3" style="0" width="36"/>
    <col collapsed="false" customWidth="true" hidden="false" max="4" min="4" style="0" width="65"/>
    <col collapsed="false" customWidth="true" hidden="false" max="5" min="5" style="0" width="4"/>
    <col collapsed="false" customWidth="true" hidden="true" max="5" min="5" style="0" width="4"/>
    <col collapsed="false" customWidth="true" hidden="false" max="6" min="6" style="0" width="50"/>
  </cols>
  <sheetData>
    <row r="1">
      <c r="A1" s="4" t="str">
        <v>省名</v>
      </c>
      <c r="B1" s="10" t="str">
        <v>选档规则</v>
      </c>
      <c r="C1" s="10" t="str">
        <v>缴费档次与补贴明细（年，分档次）</v>
      </c>
      <c r="D1" s="10" t="str">
        <v>参考链接</v>
      </c>
    </row>
    <row r="2">
      <c r="A2" s="7" t="str">
        <v>北京市</v>
      </c>
      <c r="B2" s="10" t="str">
        <v>区间自选</v>
      </c>
      <c r="C2" s="10" t="str">
        <v>[1000,2000) 补 60, [2000,7420) 补 90</v>
      </c>
      <c r="D2" s="13" t="s">
        <v>8</v>
      </c>
      <c r="E2" s="5"/>
      <c r="F2" s="5">
        <f>"搜索2016年灵活就业人员在"&amp;A2&amp;"参与城乡居民养老保险的具体规则，包括缴费档次与补贴明细，格式为“100补30，200补30”，给出存在的、可点击的参考链接，请详细核实是否是2016年的政策。"</f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7" t="str">
        <v>天津市</v>
      </c>
      <c r="B3" s="10" t="str">
        <v>固定档次自选</v>
      </c>
      <c r="C3" s="10" t="str">
        <v>600 补 60，900 补 70，1200 补 80，1500 补 90，1800 补 100，2100 补 110，2400 补 120，2700 补 130，3000 补 140，3300 补 150</v>
      </c>
      <c r="D3" s="13" t="s">
        <v>6</v>
      </c>
      <c r="F3" s="5">
        <f>"搜索2016年灵活就业人员在"&amp;A3&amp;"参与城乡居民养老保险的具体规则，包括缴费档次与补贴明细，格式为“100补30，200补30”，给出存在的、可点击的参考链接，请详细核实是否是2016年的政策。"</f>
      </c>
    </row>
    <row r="4">
      <c r="A4" s="7" t="str">
        <v>河北省</v>
      </c>
      <c r="B4" s="10" t="str">
        <v>固定档次自选</v>
      </c>
      <c r="C4" s="10" t="str">
        <v>100 补 30，200 补 30，300 补 30，400 补 30，500 补 60，600 补 60，700 补 60，800 补 60，900 补 60，1000 补 60，1500 补 60，2000 补 60，3000 补 60</v>
      </c>
      <c r="D4" s="13" t="s">
        <v>7</v>
      </c>
      <c r="F4" s="5">
        <f>"搜索2016年灵活就业人员在"&amp;A4&amp;"参与城乡居民养老保险的具体规则，包括缴费档次与补贴明细，格式为“100补30，200补30”，给出存在的、可点击的参考链接，请详细核实是否是2016年的政策。"</f>
      </c>
    </row>
    <row r="5">
      <c r="A5" s="7" t="str">
        <v>山西省</v>
      </c>
      <c r="B5" s="10" t="str">
        <v>固定档次自选</v>
      </c>
      <c r="C5" s="10" t="str">
        <v>100 补 30，200 补 35，300 补 40，400 补 50，500 补 60，600 补 60，700 补 70，800 补 70，900 补 70，1000 补 80，1500 补 80，2000 补 80</v>
      </c>
      <c r="D5" s="13" t="s">
        <v>11</v>
      </c>
      <c r="F5" s="5">
        <f>"搜索2016年灵活就业人员在"&amp;A5&amp;"参与城乡居民养老保险的具体规则，包括缴费档次与补贴明细，格式为“100补30，200补30”，给出存在的、可点击的参考链接，请详细核实是否是2016年的政策。"</f>
      </c>
    </row>
    <row r="6">
      <c r="A6" s="7" t="str">
        <v>内蒙古自治区</v>
      </c>
      <c r="B6" s="10" t="str">
        <v>固定档次自选</v>
      </c>
      <c r="C6" s="10" t="str">
        <v>100 补 30，200 补 35，300 补 40，400 补 45，500 补 60，600 补 65，700 补 70，800 补 75，900 补 80，1000 补 85，1500 补 85，2000 补 85，3000 补 85</v>
      </c>
      <c r="D6" s="13" t="s">
        <v>12</v>
      </c>
      <c r="F6" s="5">
        <f>"搜索2016年灵活就业人员在"&amp;A6&amp;"参与城乡居民养老保险的具体规则，包括缴费档次与补贴明细，格式为“100补30，200补30”，给出存在的、可点击的参考链接，请详细核实是否是2016年的政策。"</f>
      </c>
    </row>
    <row r="7">
      <c r="A7" s="7" t="str">
        <v>辽宁省</v>
      </c>
      <c r="B7" s="10" t="str">
        <v>固定档次自选</v>
      </c>
      <c r="C7" s="10" t="str">
        <v>100 补 30，200 补 40，300 补 50，400 补 60，500 补 70，600 补 80，700 补 90，800 补 100，900 补 110，1000 补 120，1500 补 150，2000 补 170</v>
      </c>
      <c r="D7" s="13" t="s">
        <v>9</v>
      </c>
      <c r="F7" s="5">
        <f>"搜索2016年灵活就业人员在"&amp;A7&amp;"参与城乡居民养老保险的具体规则，包括缴费档次与补贴明细，格式为“100补30，200补30”，给出存在的、可点击的参考链接，请详细核实是否是2016年的政策。"</f>
      </c>
    </row>
    <row r="8">
      <c r="A8" s="7" t="str">
        <v>吉林省</v>
      </c>
      <c r="B8" s="10" t="str">
        <v>固定档次自选</v>
      </c>
      <c r="C8" s="10" t="str">
        <v>100 补 30，200 补 40，300 补 50，400 补 60，500 补 70，600 补 80，700 补 90，800 补 100，900 补 110，1000 补 120，1500 补 145，2000 补 170</v>
      </c>
      <c r="D8" s="13" t="s">
        <v>10</v>
      </c>
      <c r="F8" s="5">
        <f>"搜索2016年灵活就业人员在"&amp;A8&amp;"参与城乡居民养老保险的具体规则，包括缴费档次与补贴明细，格式为“100补30，200补30”，给出存在的、可点击的参考链接，请详细核实是否是2016年的政策。"</f>
      </c>
    </row>
    <row r="9">
      <c r="A9" s="7" t="str">
        <v>黑龙江省</v>
      </c>
      <c r="B9" s="10" t="str">
        <v>固定档次自选</v>
      </c>
      <c r="C9" s="5" t="str">
        <v>100 补 30，200 补 40，300 补 50，400 补 60，500 补 70，600 补 70，700 补 70，800 补 70，900 补 70，1000 补 70，1500 补 70，2000 补 70</v>
      </c>
      <c r="D9" s="5" t="s">
        <v>15</v>
      </c>
      <c r="F9" s="5">
        <f>"搜索2016年灵活就业人员在"&amp;A9&amp;"参与城乡居民养老保险的具体规则，包括缴费档次与补贴明细，格式为“100补30，200补30”，给出存在的、可点击的参考链接，请详细核实是否是2016年的政策。"</f>
      </c>
    </row>
    <row r="10">
      <c r="A10" s="7" t="str">
        <v>上海市</v>
      </c>
      <c r="B10" s="10" t="str">
        <v>固定档次自选</v>
      </c>
      <c r="C10" s="5" t="str">
        <v>500 补 200，700 补 250，900 补 300，1100 补 350，1300 补 400，1500 补 425，1700 补 450，1900 补 475，2100 补 500，2300 补 525，2800 补 550，3300 补 575</v>
      </c>
      <c r="D10" s="5" t="s">
        <v>16</v>
      </c>
      <c r="F10" s="5">
        <f>"搜索2016年灵活就业人员在"&amp;A10&amp;"参与城乡居民养老保险的具体规则，包括缴费档次与补贴明细，格式为“100补30，200补30”，给出存在的、可点击的参考链接，请详细核实是否是2016年的政策。"</f>
      </c>
    </row>
    <row r="11">
      <c r="A11" s="7" t="str">
        <v>江苏省</v>
      </c>
      <c r="B11" s="10" t="str">
        <v>固定档次自选</v>
      </c>
      <c r="C11" s="5" t="str">
        <v>100 补 30，200 补 30，300 补 40，400 补 40，500 补 60，600 补 60，700 补 60，800 补 60，900 补 60，1000 补 80，1500 补 100，2000 补 120，2500 补 140，3000 补 160</v>
      </c>
      <c r="D11" s="5" t="s">
        <v>13</v>
      </c>
      <c r="F11" s="5">
        <f>"搜索2016年灵活就业人员在"&amp;A11&amp;"参与城乡居民养老保险的具体规则，包括缴费档次与补贴明细，格式为“100补30，200补30”，给出存在的、可点击的参考链接，请详细核实是否是2016年的政策。"</f>
      </c>
    </row>
    <row r="12">
      <c r="A12" s="7" t="str">
        <v>浙江省</v>
      </c>
      <c r="B12" s="10" t="str">
        <v>固定档次自选</v>
      </c>
      <c r="C12" s="5" t="str">
        <v>100 补 30，500 补 80，700 补 90，900 补 100，1200 补 110，1500 补 120，2000 补 130</v>
      </c>
      <c r="D12" s="5" t="s">
        <v>14</v>
      </c>
      <c r="F12" s="5">
        <f>"搜索2016年灵活就业人员在"&amp;A12&amp;"参与城乡居民养老保险的具体规则，包括缴费档次与补贴明细，格式为“100补30，200补30”，给出存在的、可点击的参考链接，请详细核实是否是2016年的政策。"</f>
      </c>
    </row>
    <row r="13">
      <c r="A13" s="7" t="str">
        <v>安徽省</v>
      </c>
      <c r="B13" s="10" t="str">
        <v>固定档次自选</v>
      </c>
      <c r="C13" s="5" t="str">
        <v>100 补 35，200 补 40，300 补 45，400 补 50，500 补 60，600 补 60，700 补 60，800 补 60，900 补 60，1000 补 60，1500 补 60，2000 补 60，3000 补 60</v>
      </c>
      <c r="D13" s="5" t="s">
        <v>19</v>
      </c>
      <c r="F13" s="5">
        <f>"搜索2016年灵活就业人员在"&amp;A13&amp;"参与城乡居民养老保险的具体规则，包括缴费档次与补贴明细，格式为“100补30，200补30”，给出存在的、可点击的参考链接，请详细核实是否是2016年的政策。"</f>
      </c>
    </row>
    <row r="14">
      <c r="A14" s="7" t="str">
        <v>福建省</v>
      </c>
      <c r="B14" s="10" t="str">
        <v>固定档次自选</v>
      </c>
      <c r="C14" s="5" t="str">
        <v>100 补 30，200 补 40，300 补 50，400 补 60，500 补 70，600 补 80，700 补 90，800 补 100，900 补 100，1000 补 100，1100 补 100，1200 补 100，1300 补 100，1400 补 100，1500 补 100，1600 补 100，1700 补 100，1800 补 100，1900 补 100，2000 补 100</v>
      </c>
      <c r="D14" s="5" t="s">
        <v>20</v>
      </c>
      <c r="F14" s="5">
        <f>"搜索2016年灵活就业人员在"&amp;A14&amp;"参与城乡居民养老保险的具体规则，包括缴费档次与补贴明细，格式为“100补30，200补30”，给出存在的、可点击的参考链接，请详细核实是否是2016年的政策。"</f>
      </c>
    </row>
    <row r="15">
      <c r="A15" s="7" t="str">
        <v>江西省</v>
      </c>
      <c r="B15" s="10" t="str">
        <v>固定档次自选</v>
      </c>
      <c r="C15" s="5" t="str">
        <v>300 补 40，400 补 45，500 补 60，600 补 65，700 补 70，800 补 75，900 补 80，1000 补 85，1500 补 90，2000 补 95</v>
      </c>
      <c r="D15" s="5" t="s">
        <v>17</v>
      </c>
      <c r="F15" s="5">
        <f>"搜索2016年灵活就业人员在"&amp;A15&amp;"参与城乡居民养老保险的具体规则，包括缴费档次与补贴明细，格式为“100补30，200补30”，给出存在的、可点击的参考链接，请详细核实是否是2016年的政策。"</f>
      </c>
    </row>
    <row r="16">
      <c r="A16" s="7" t="str">
        <v>山东省</v>
      </c>
      <c r="B16" s="10" t="str">
        <v>固定档次自选</v>
      </c>
      <c r="C16" s="5" t="str">
        <v>100 补 30，300 补 30，500 补 60，600 补 60，800 补 60，1000 补 60，1500 补 100，2000 补 100，2500 补 100，3000 补 100，4000 补 100，5000 补 100</v>
      </c>
      <c r="D16" s="5" t="s">
        <v>18</v>
      </c>
      <c r="F16" s="5">
        <f>"搜索2016年灵活就业人员在"&amp;A16&amp;"参与城乡居民养老保险的具体规则，包括缴费档次与补贴明细，格式为“100补30，200补30”，给出存在的、可点击的参考链接，请详细核实是否是2016年的政策。"</f>
      </c>
    </row>
    <row r="17">
      <c r="A17" s="7" t="str">
        <v>河南省</v>
      </c>
      <c r="B17" s="10" t="str">
        <v>固定档次自选</v>
      </c>
      <c r="C17" s="5" t="str">
        <v>100 补 30，200 补 30，300 补 30，400 补 30，500 补 60，600 补 60，700 补 60，800 补 60，900 补 60，1000 补 60，1500 补 60，2000 补 60，2500 补 60，3000 补 60，4000 补 60，5000 补 60</v>
      </c>
      <c r="D17" s="5" t="s">
        <v>23</v>
      </c>
      <c r="F17" s="5">
        <f>"搜索2016年灵活就业人员在"&amp;A17&amp;"参与城乡居民养老保险的具体规则，包括缴费档次与补贴明细，格式为“100补30，200补30”，给出存在的、可点击的参考链接，请详细核实是否是2016年的政策。"</f>
      </c>
    </row>
    <row r="18">
      <c r="A18" s="7" t="str">
        <v>湖北省</v>
      </c>
      <c r="B18" s="10" t="str">
        <v>固定档次自选</v>
      </c>
      <c r="C18" s="5" t="str">
        <v>100 补 30，200 补 45，300 补 45，400 补 45，500 补 60，600 补 60，700 补 60，800 补 60，900 补 60，1000 补 60，1500 补 60，2000 补 60</v>
      </c>
      <c r="D18" s="5" t="s">
        <v>24</v>
      </c>
      <c r="F18" s="5">
        <f>"搜索2016年灵活就业人员在"&amp;A18&amp;"参与城乡居民养老保险的具体规则，包括缴费档次与补贴明细，格式为“100补30，200补30”，给出存在的、可点击的参考链接，请详细核实是否是2016年的政策。"</f>
      </c>
    </row>
    <row r="19">
      <c r="A19" s="7" t="str">
        <v>湖南省</v>
      </c>
      <c r="B19" s="10" t="str">
        <v>固定档次自选</v>
      </c>
      <c r="C19" s="5" t="str">
        <v>100 补 30，200 补 30，300 补 40，400 补 40，500 补 60，600 补 60，700 补 60，800 补 60，900 补 60，1000 补 60，1500 补 60，2000 补 60，2500 补 60，3000 补 60</v>
      </c>
      <c r="D19" s="5" t="s">
        <v>21</v>
      </c>
      <c r="F19" s="5">
        <f>"搜索2016年灵活就业人员在"&amp;A19&amp;"参与城乡居民养老保险的具体规则，包括缴费档次与补贴明细，格式为“100补30，200补30”，给出存在的、可点击的参考链接，请详细核实是否是2016年的政策。"</f>
      </c>
    </row>
    <row r="20">
      <c r="A20" s="7" t="str">
        <v>广东省</v>
      </c>
      <c r="B20" s="10" t="str">
        <v>固定档次自选</v>
      </c>
      <c r="C20" s="5" t="str">
        <v>120 补 30，240 补 30，360 补 30，480 补 60，600 补 60，960 补 60，1200 补 60，1800 补 60，2400 补 60，3600 补 60</v>
      </c>
      <c r="D20" s="5" t="s">
        <v>22</v>
      </c>
      <c r="F20" s="5">
        <f>"搜索2016年灵活就业人员在"&amp;A20&amp;"参与城乡居民养老保险的具体规则，包括缴费档次与补贴明细，格式为“100补30，200补30”，给出存在的、可点击的参考链接，请详细核实是否是2016年的政策。"</f>
      </c>
    </row>
    <row r="21">
      <c r="A21" s="7" t="str">
        <v>广西壮族自治区</v>
      </c>
      <c r="B21" s="10" t="str">
        <v>固定档次自选</v>
      </c>
      <c r="C21" s="5" t="str">
        <v>100 补 30，200 补 40，300 补 50，400 补 55，500 补 60，600 补 65，700 补 70，800 补 75，900 补 80，1000 补 80，1500 补 80，2000 补 80</v>
      </c>
      <c r="D21" s="5" t="s">
        <v>27</v>
      </c>
      <c r="F21" s="5">
        <f>"搜索2016年灵活就业人员在"&amp;A21&amp;"参与城乡居民养老保险的具体规则，包括缴费档次与补贴明细，格式为“100补30，200补30”，给出存在的、可点击的参考链接，请详细核实是否是2016年的政策。"</f>
      </c>
    </row>
    <row r="22">
      <c r="A22" s="7" t="str">
        <v>海南省</v>
      </c>
      <c r="B22" s="10" t="str">
        <v>固定档次自选</v>
      </c>
      <c r="C22" s="5" t="str">
        <v>100 补 30，200 补 40，300 补 50，400 补 60，500 补 70，600 补 80，700 补 90，800 补 100，900 补 110，1000 补 120，1500 补 130，2000 补 140，3000 补 150</v>
      </c>
      <c r="D22" s="5" t="s">
        <v>28</v>
      </c>
      <c r="F22" s="5">
        <f>"搜索2016年灵活就业人员在"&amp;A22&amp;"参与城乡居民养老保险的具体规则，包括缴费档次与补贴明细，格式为“100补30，200补30”，给出存在的、可点击的参考链接，请详细核实是否是2016年的政策。"</f>
      </c>
    </row>
    <row r="23">
      <c r="A23" s="7" t="str">
        <v>重庆市</v>
      </c>
      <c r="B23" s="10" t="str">
        <v>固定档次自选</v>
      </c>
      <c r="C23" s="5" t="str">
        <v>100 补 30，200 补 40，300 补 50，400 补 60，500 补 70，600 补 80，700 补 90，800 补 100，900 补 110，1000 补 120，1500 补 130，2000 补 140</v>
      </c>
      <c r="D23" s="5" t="s">
        <v>25</v>
      </c>
      <c r="F23" s="5">
        <f>"搜索2016年灵活就业人员在"&amp;A23&amp;"参与城乡居民养老保险的具体规则，包括缴费档次与补贴明细，格式为“100补30，200补30”，给出存在的、可点击的参考链接，请详细核实是否是2016年的政策。"</f>
      </c>
    </row>
    <row r="24">
      <c r="A24" s="7" t="str">
        <v>四川省</v>
      </c>
      <c r="B24" s="10" t="str">
        <v>固定档次自选</v>
      </c>
      <c r="C24" s="5" t="str">
        <v>100 补 40，200 补 40，300 补 45，400 补 50，500 补 60，600 补 60，700 补 65，800 补 70，900 补 75，1000 补 80，1500 补 100，2000 补 120，3000 补 160</v>
      </c>
      <c r="D24" s="5" t="s">
        <v>26</v>
      </c>
      <c r="F24" s="5">
        <f>"搜索2016年灵活就业人员在"&amp;A24&amp;"参与城乡居民养老保险的具体规则，包括缴费档次与补贴明细，格式为“100补30，200补30”，给出存在的、可点击的参考链接，请详细核实是否是2016年的政策。"</f>
      </c>
    </row>
    <row r="25">
      <c r="A25" s="7" t="str">
        <v>贵州省</v>
      </c>
      <c r="B25" s="10" t="str">
        <v>固定档次自选</v>
      </c>
      <c r="C25" s="5" t="str">
        <v>100 补 30，200 补 30，300 补 30，400 补 30，500 补 60，600 补 60，700 补 60，800 补 60，900 补 60，1000 补 90，1200 补 90，1500 补 90，2000 补 90</v>
      </c>
      <c r="D25" s="5" t="s">
        <v>31</v>
      </c>
      <c r="F25" s="5">
        <f>"搜索2016年灵活就业人员在"&amp;A25&amp;"参与城乡居民养老保险的具体规则，包括缴费档次与补贴明细，格式为“100补30，200补30”，给出存在的、可点击的参考链接，请详细核实是否是2016年的政策。"</f>
      </c>
    </row>
    <row r="26">
      <c r="A26" s="7" t="str">
        <v>云南省</v>
      </c>
      <c r="B26" s="10" t="str">
        <v>固定档次自选</v>
      </c>
      <c r="C26" s="5" t="str">
        <v>100 补 30，200 补 40，300 补 50，400 补 60，500 补 70，600 补 80，700 补 90，800 补 100，900 补 100，1000 补 100，1500 补 100，2000 补 100</v>
      </c>
      <c r="D26" s="5" t="s">
        <v>1</v>
      </c>
      <c r="F26" s="5">
        <f>"搜索2016年灵活就业人员在"&amp;A26&amp;"参与城乡居民养老保险的具体规则，包括缴费档次与补贴明细，格式为“100补30，200补30”，给出存在的、可点击的参考链接，请详细核实是否是2016年的政策。"</f>
      </c>
    </row>
    <row r="27">
      <c r="A27" s="7" t="str">
        <v>西藏自治区</v>
      </c>
      <c r="B27" s="10" t="str">
        <v>固定档次自选</v>
      </c>
      <c r="C27" s="5" t="str">
        <v>100 补 40，200 补 45，300 补 50，400 补 55，500 补 60，600 补 65，700 补 70，800 补 75，900 补 80，1000 补 85，1500 补 90，2000 补 95</v>
      </c>
      <c r="D27" s="5" t="s">
        <v>29</v>
      </c>
      <c r="F27" s="5">
        <f>"搜索2016年灵活就业人员在"&amp;A27&amp;"参与城乡居民养老保险的具体规则，包括缴费档次与补贴明细，格式为“100补30，200补30”，给出存在的、可点击的参考链接，请详细核实是否是2016年的政策。"</f>
      </c>
    </row>
    <row r="28">
      <c r="A28" s="7" t="str">
        <v>陕西省</v>
      </c>
      <c r="B28" s="10" t="str">
        <v>固定档次自选</v>
      </c>
      <c r="C28" s="5" t="str">
        <v>100 补 30，200 补 30，300 补 40，400 补 45，500 补 60，600 补 65，700 补 70，800 补 75，900 补 80，1000 补 100，1500 补 150，2000 补 200</v>
      </c>
      <c r="D28" s="5" t="s">
        <v>30</v>
      </c>
      <c r="F28" s="5">
        <f>"搜索2016年灵活就业人员在"&amp;A28&amp;"参与城乡居民养老保险的具体规则，包括缴费档次与补贴明细，格式为“100补30，200补30”，给出存在的、可点击的参考链接，请详细核实是否是2016年的政策。"</f>
      </c>
    </row>
    <row r="29">
      <c r="A29" s="7" t="str">
        <v>甘肃省</v>
      </c>
      <c r="B29" s="10" t="str">
        <v>固定档次自选</v>
      </c>
      <c r="C29" s="5" t="str">
        <v>100 补 30，200 补 30，300 补 30，400 补 30，500 补 60，600 补 60，700 补 60，800 补 60，900 补 60，1000 补 60，1500 补 60，2000 补 60</v>
      </c>
      <c r="D29" s="5" t="s">
        <v>4</v>
      </c>
      <c r="F29" s="5">
        <f>"搜索2016年灵活就业人员在"&amp;A29&amp;"参与城乡居民养老保险的具体规则，包括缴费档次与补贴明细，格式为“100补30，200补30”，给出存在的、可点击的参考链接，请详细核实是否是2016年的政策。"</f>
      </c>
    </row>
    <row r="30">
      <c r="A30" s="7" t="str">
        <v>青海省</v>
      </c>
      <c r="B30" s="10" t="str">
        <v>固定档次自选</v>
      </c>
      <c r="C30" s="5" t="str">
        <v>100 补 30，200 补 40，300 补 50，400 补 60，500 补 70，600 补 85，700 补 100，800 补 115，900 补 130，1000 补 145，1500 补 165，2000 补 185</v>
      </c>
      <c r="D30" s="5" t="s">
        <v>5</v>
      </c>
      <c r="F30" s="5">
        <f>"搜索2016年灵活就业人员在"&amp;A30&amp;"参与城乡居民养老保险的具体规则，包括缴费档次与补贴明细，格式为“100补30，200补30”，给出存在的、可点击的参考链接，请详细核实是否是2016年的政策。"</f>
      </c>
    </row>
    <row r="31">
      <c r="A31" s="7" t="str">
        <v>宁夏回族自治区</v>
      </c>
      <c r="B31" s="10" t="str">
        <v>固定档次自选</v>
      </c>
      <c r="C31" s="5" t="str">
        <v>100 补 30，200 补 40，300 补 50，400 补 60，500 补 70，600 补 80，700 补 90，800 补 100，900 补 110，1000 补 120，1500 补 160，2000 补 200</v>
      </c>
      <c r="D31" s="5" t="s">
        <v>2</v>
      </c>
      <c r="F31" s="5">
        <f>"搜索2016年灵活就业人员在"&amp;A31&amp;"参与城乡居民养老保险的具体规则，包括缴费档次与补贴明细，格式为“100补30，200补30”，给出存在的、可点击的参考链接，请详细核实是否是2016年的政策。"</f>
      </c>
    </row>
    <row r="32">
      <c r="A32" s="7" t="str">
        <v>新疆维吾尔自治区</v>
      </c>
      <c r="B32" s="10" t="str">
        <v>固定档次自选</v>
      </c>
      <c r="C32" s="5" t="str">
        <v>100 补 50，200 补 55，300 补 60，400 补 65，500 补 70，600 补 75，700 补 80，800 补 85，900 补 90，1000 补 95，1500 补 100，2000 补 105，2500 补 110，3000 补 115</v>
      </c>
      <c r="D32" s="5" t="s">
        <v>3</v>
      </c>
      <c r="F32" s="5">
        <f>"搜索2016年灵活就业人员在"&amp;A32&amp;"参与城乡居民养老保险的具体规则，包括缴费档次与补贴明细，格式为“100补30，200补30”，给出存在的、可点击的参考链接，请详细核实是否是2016年的政策。"</f>
      </c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</sheetData>
  <hyperlinks>
    <hyperlink ref="D14" display="https://www.fujian.gov.cn/zwgk/zxwj/szfwj/201409/t20140917_1468256.htm" r:id="rId1"/>
    <hyperlink ref="D11" display="http://admin.yzcity.gov.cn:8888/jhtjz/0200/201607/be0ed0e2b1f34880b1a352c9c045198e.shtml?f_link_type=f_linkinlinenote&amp;flow_extra=eyJpbmxpbmVfZGlzcGxheV9wb3NpdGlvbiI6MCwiZG9jX3Bvc2l0aW9uIjowLCJkb2NfaWQiOiJhN2I5MDUyNzkzNDViN2E3LWY4ZmU0M2I5NTE5YzQ3ZWUifQ%3D%3D" r:id="rId2"/>
    <hyperlink ref="D24" display="https://www.sc.gov.cn/10462/10883/11066/2014/4/21/10299664.shtml" r:id="rId3"/>
    <hyperlink ref="D30" display="http://www.qinghai.gov.cn/xxgk/xxgk/fd/lzyj/gfxwj/szf/201712/t20171222_18165.html?f_link_type=f_linkinlinenote&amp;flow_extra=eyJpbmxpbmVfZGlzcGxheV9wb3NpdGlvbiI6MCwiZG9jX3Bvc2l0aW9uIjowLCJkb2NfaWQiOiJjNGFjMzQ1ZWNiZWNkNTg3LTQ2MTdlZTk3OWRiNDQ1MGYifQ%3D%3D" r:id="rId4"/>
    <hyperlink ref="D2" display="https://rsj.beijing.gov.cn/xxgk/2024zcwj/202504/t20250425_4074533.html?f_link_type=f_linkinlinenote&amp;flow_extra=eyJpbmxpbmVfZGlzcGxheV9wb3NpdGlvbiI6MCwiZG9jX3Bvc2l0aW9uIjowLCJkb2NfaWQiOiI5OTU5NDkxZGZiYzI2MjhkLWVkNTlmMmExODg4N2I2OWQifQ%3D%3D" r:id="rId5"/>
    <hyperlink ref="D4" display="https://www.hebei.gov.cn/columns/43e11810-5806-4099-84ab-0c9bc150e7d6/202309/11/e7d4a5c2-a891-4088-9c70-84b497a2f3df.html" r:id="rId6"/>
    <hyperlink ref="D17" display="https://www.henan.gov.cn/2014/11-25/239076.html" r:id="rId7"/>
    <hyperlink ref="D7" display="https://www.shenyang.gov.cn/zwgk/zcwj/zfwj/szfwj/202112/t20211201_1701271.html" r:id="rId8"/>
    <hyperlink ref="D12" display="https://www.qdh.gov.cn/art/2016/4/26/art_1289748_5969813.html?f_link_type=f_linkinlinenote&amp;flow_extra=eyJpbmxpbmVfZGlzcGxheV9wb3NpdGlvbiI6MCwiZG9jX3Bvc2l0aW9uIjowLCJkb2NfaWQiOiJhOTc5M2Q0MGZjYjYzYzgzLWNjZmY1MTM0ZmY0OTNkZGMifQ%3D%3D" r:id="rId9"/>
    <hyperlink ref="D29" display="https://www.mohrss.gov.cn/ncshbxs/NCSHBXSzhengcewenjian/201408/t20140828_139165.html" r:id="rId10"/>
    <hyperlink ref="D6" display="https://www.nmg.gov.cn/zwgk/zfxxgk/zfxxgkml/202012/t20201208_313317.html" r:id="rId11"/>
    <hyperlink ref="D9" display="https://www.chinaacc.com/heilongjiangczzn/ncshbz/wa1604268403.shtml" r:id="rId12"/>
    <hyperlink ref="D26" display="https://www.yn.gov.cn/zwgk/zcwj/yzf/201606/t20160620_142914.html" r:id="rId13"/>
    <hyperlink ref="D23" display="https://www.cq.gov.cn/zwgk/zfxxgkml/szfwj/xzgfxwj/szfbgt/201409/t20140904_8837386.html" r:id="rId14"/>
    <hyperlink ref="D31" display="https://www.yzh.gov.cn/zzb/zcwj_68006/201709/t20170921_490611.html" r:id="rId15"/>
    <hyperlink ref="D18" display="https://www.tianmen.gov.cn/zwgk/bmhxzxxgkml/xzbcy/fzsz/zfxxgk/zc/zfwj/201610/t20161012_1950362.shtml" r:id="rId16"/>
    <hyperlink ref="D32" display="https://www.xinjiang.gov.cn/xinjiang/c112543/202311/7eaa140567bb4a22aff539ed57a853f2.shtml" r:id="rId17"/>
    <hyperlink ref="D27" display="https://www.xizang.gov.cn/zwgk/xxgk_424/zxxxgk/201902/W020221122733493079578.pdf" r:id="rId18"/>
    <hyperlink ref="D10" display="https://www.shanghai.gov.cn/nw31810/20200820/0001-31810_38977.html" r:id="rId19"/>
    <hyperlink ref="D3" display="https://www.tj.gov.cn/zwgk/szfwj/tjsrmzf/202005/t20200519_2365600.html?f_link_type=f_linkinlinenote&amp;flow_extra=eyJpbmxpbmVfZGlzcGxheV9wb3NpdGlvbiI6MCwiZG9jX3Bvc2l0aW9uIjowLCJkb2NfaWQiOiIxMTAzMjI2MzdjYzMyYWVkLWQ0YzVmODBiYjZmMGI0NDgifQ%3D%3D" r:id="rId20"/>
    <hyperlink ref="D28" display="https://www.shaanxi.gov.cn/zfxxgk/zfgb/2014_4066/d17q_4083/201409/t20140917_1641201_wap.html" r:id="rId21"/>
    <hyperlink ref="D22" display="https://chengmai.hainan.gov.cn/wenruzhen/zfwj/201908/fb30c98cdcab43dcaddd56fcf2158e8f.shtml" r:id="rId22"/>
    <hyperlink ref="D13" display="https://rsj.huaibei.gov.cn/gzdt/zcjd/13703951.html" r:id="rId23"/>
    <hyperlink ref="D25" display="https://www.guizhou.gov.cn/zwgk/zfgb/gzszfgb/201406/t20140614_70521376.html" r:id="rId24"/>
    <hyperlink ref="D16" display="http://www.jimo.gov.cn/xwzx/bmdt/202110/t20211004_3469882.shtml?f_link_type=f_linkinlinenote&amp;flow_extra=eyJpbmxpbmVfZGlzcGxheV9wb3NpdGlvbiI6MCwiZG9jX3Bvc2l0aW9uIjowLCJkb2NfaWQiOiJkYjJmNmY4M2Q3NmQ3MzM0LTBiNmUwODA0YjI4MTY4ODEifQ%3D%3D" r:id="rId25"/>
    <hyperlink ref="D15" display="https://www.jiangxi.gov.cn/jxsrmzf/zcwj103/pc/content/content_1754337813615546368.html?f_link_type=f_linkinlinenote&amp;flow_extra=eyJpbmxpbmVfZGlzcGxheV9wb3NpdGlvbiI6MCwiZG9jX3Bvc2l0aW9uIjowLCJkb2NfaWQiOiIxYjY4ODI0YmFhMmMwZTNlLWJlOTdlY2RjNzk0ZjQxNzkifQ%3D%3D" r:id="rId26"/>
    <hyperlink ref="D21" display="http://www.gxzf.gov.cn/zfgb/2014nzfgb_35190/d26q_35191/zzqrmzfbgtwj_35194/t1511562.shtml" r:id="rId27"/>
    <hyperlink ref="D5" display="https://rst.shanxi.gov.cn/zwyw/zcfg/zfgz/201406/t20140630_2907820.shtml?f_link_type=f_linkinlinenote&amp;flow_extra=eyJkb2NfaWQiOiIzZTc3YmY3YWE5NzZkYWIyLTBhNDlkNDdmNDU1YjEyMTkiLCJpbmxpbmVfZGlzcGxheV9wb3NpdGlvbiI6MCwiZG9jX3Bvc2l0aW9uIjowfQ%3D%3D" r:id="rId28"/>
    <hyperlink ref="D20" display="https://www.gd.gov.cn/zwgk/wjk/zcfgk/content/post_2709923.html" r:id="rId29"/>
    <hyperlink ref="D19" display="https://rst.hunan.gov.cn/rst/xxgk/gzdt/zwdt/201606/t20160615_3450376.html" r:id="rId30"/>
    <hyperlink ref="D8" display="https://xxgk.jl.gov.cn/qtdw/jgsw_98202/zcfg/201905/t20190505_5838820.html" r:id="rId31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13"/>
  </cols>
  <sheetData>
    <row r="1">
      <c r="A1" s="10" t="str">
        <v>省名</v>
      </c>
      <c r="B1" s="10" t="str">
        <v>基础养老金标准（元 / 月）</v>
      </c>
      <c r="C1" s="10" t="str">
        <v>权威参考链接</v>
      </c>
      <c r="F1" s="4" t="str">
        <v>省名</v>
      </c>
      <c r="G1" s="10" t="str">
        <v>基础养老金标准（元 / 月）</v>
      </c>
      <c r="H1" s="10"/>
    </row>
    <row r="2">
      <c r="A2" s="10" t="str">
        <v>安徽省</v>
      </c>
      <c r="B2" s="10">
        <v>70</v>
      </c>
      <c r="C2" s="13" t="s">
        <v>32</v>
      </c>
      <c r="F2" s="7" t="str">
        <v>北京市</v>
      </c>
      <c r="G2">
        <f>VLOOKUP($F2,$A:$C,2,0)</f>
      </c>
    </row>
    <row r="3">
      <c r="A3" s="10" t="str">
        <v>北京市</v>
      </c>
      <c r="B3" s="10">
        <v>510</v>
      </c>
      <c r="C3" s="13" t="s">
        <v>32</v>
      </c>
      <c r="F3" s="7" t="str">
        <v>天津市</v>
      </c>
      <c r="G3">
        <f>VLOOKUP($F3,$A:$C,2,0)</f>
      </c>
    </row>
    <row r="4">
      <c r="A4" s="10" t="str">
        <v>福建省</v>
      </c>
      <c r="B4" s="10">
        <v>100</v>
      </c>
      <c r="C4" s="13" t="s">
        <v>32</v>
      </c>
      <c r="F4" s="7" t="str">
        <v>河北省</v>
      </c>
      <c r="G4">
        <f>VLOOKUP($F4,$A:$C,2,0)</f>
      </c>
    </row>
    <row r="5">
      <c r="A5" s="10" t="str">
        <v>甘肃省</v>
      </c>
      <c r="B5" s="10">
        <v>85</v>
      </c>
      <c r="C5" s="13" t="s">
        <v>32</v>
      </c>
      <c r="F5" s="7" t="str">
        <v>山西省</v>
      </c>
      <c r="G5">
        <f>VLOOKUP($F5,$A:$C,2,0)</f>
      </c>
    </row>
    <row r="6">
      <c r="A6" s="10" t="str">
        <v>广东省</v>
      </c>
      <c r="B6" s="10">
        <v>110</v>
      </c>
      <c r="C6" s="13" t="s">
        <v>32</v>
      </c>
      <c r="F6" s="7" t="str">
        <v>内蒙古自治区</v>
      </c>
      <c r="G6">
        <f>VLOOKUP($F6,$A:$C,2,0)</f>
      </c>
    </row>
    <row r="7">
      <c r="A7" s="10" t="str">
        <v>广西壮族自治区</v>
      </c>
      <c r="B7" s="10">
        <v>90</v>
      </c>
      <c r="C7" s="13" t="s">
        <v>32</v>
      </c>
      <c r="F7" s="7" t="str">
        <v>辽宁省</v>
      </c>
      <c r="G7">
        <f>VLOOKUP($F7,$A:$C,2,0)</f>
      </c>
    </row>
    <row r="8">
      <c r="A8" s="10" t="str">
        <v>贵州省</v>
      </c>
      <c r="B8" s="10">
        <v>70</v>
      </c>
      <c r="C8" s="13" t="s">
        <v>32</v>
      </c>
      <c r="F8" s="7" t="str">
        <v>吉林省</v>
      </c>
      <c r="G8">
        <f>VLOOKUP($F8,$A:$C,2,0)</f>
      </c>
    </row>
    <row r="9">
      <c r="A9" s="10" t="str">
        <v>海南省</v>
      </c>
      <c r="B9" s="10">
        <v>145</v>
      </c>
      <c r="C9" s="13" t="s">
        <v>32</v>
      </c>
      <c r="F9" s="7" t="str">
        <v>黑龙江省</v>
      </c>
      <c r="G9">
        <f>VLOOKUP($F9,$A:$C,2,0)</f>
      </c>
    </row>
    <row r="10">
      <c r="A10" s="10" t="str">
        <v>河北省</v>
      </c>
      <c r="B10" s="10">
        <v>80</v>
      </c>
      <c r="C10" s="13" t="s">
        <v>32</v>
      </c>
      <c r="F10" s="7" t="str">
        <v>上海市</v>
      </c>
      <c r="G10">
        <f>VLOOKUP($F10,$A:$C,2,0)</f>
      </c>
    </row>
    <row r="11">
      <c r="A11" s="10" t="str">
        <v>河南省</v>
      </c>
      <c r="B11" s="10">
        <v>78</v>
      </c>
      <c r="C11" s="13" t="s">
        <v>32</v>
      </c>
      <c r="F11" s="7" t="str">
        <v>江苏省</v>
      </c>
      <c r="G11">
        <f>VLOOKUP($F11,$A:$C,2,0)</f>
      </c>
    </row>
    <row r="12">
      <c r="A12" s="10" t="str">
        <v>黑龙江省</v>
      </c>
      <c r="B12" s="10">
        <v>70</v>
      </c>
      <c r="C12" s="13" t="s">
        <v>32</v>
      </c>
      <c r="F12" s="7" t="str">
        <v>浙江省</v>
      </c>
      <c r="G12">
        <f>VLOOKUP($F12,$A:$C,2,0)</f>
      </c>
    </row>
    <row r="13">
      <c r="A13" s="10" t="str">
        <v>湖北省</v>
      </c>
      <c r="B13" s="10">
        <v>70</v>
      </c>
      <c r="C13" s="13" t="s">
        <v>32</v>
      </c>
      <c r="F13" s="7" t="str">
        <v>安徽省</v>
      </c>
      <c r="G13">
        <f>VLOOKUP($F13,$A:$C,2,0)</f>
      </c>
    </row>
    <row r="14">
      <c r="A14" s="10" t="str">
        <v>湖南省</v>
      </c>
      <c r="B14" s="10">
        <v>80</v>
      </c>
      <c r="C14" s="13" t="s">
        <v>32</v>
      </c>
      <c r="F14" s="7" t="str">
        <v>福建省</v>
      </c>
      <c r="G14">
        <f>VLOOKUP($F14,$A:$C,2,0)</f>
      </c>
    </row>
    <row r="15">
      <c r="A15" s="10" t="str">
        <v>吉林省</v>
      </c>
      <c r="B15" s="10">
        <v>80</v>
      </c>
      <c r="C15" s="13" t="s">
        <v>32</v>
      </c>
      <c r="F15" s="7" t="str">
        <v>江西省</v>
      </c>
      <c r="G15">
        <f>VLOOKUP($F15,$A:$C,2,0)</f>
      </c>
    </row>
    <row r="16">
      <c r="A16" s="10" t="str">
        <v>江苏省</v>
      </c>
      <c r="B16" s="10">
        <v>115</v>
      </c>
      <c r="C16" s="13" t="s">
        <v>32</v>
      </c>
      <c r="F16" s="7" t="str">
        <v>山东省</v>
      </c>
      <c r="G16">
        <f>VLOOKUP($F16,$A:$C,2,0)</f>
      </c>
    </row>
    <row r="17">
      <c r="A17" s="10" t="str">
        <v>江西省</v>
      </c>
      <c r="B17" s="10">
        <v>80</v>
      </c>
      <c r="C17" s="13" t="s">
        <v>32</v>
      </c>
      <c r="F17" s="7" t="str">
        <v>河南省</v>
      </c>
      <c r="G17">
        <f>VLOOKUP($F17,$A:$C,2,0)</f>
      </c>
    </row>
    <row r="18">
      <c r="A18" s="10" t="str">
        <v>辽宁省</v>
      </c>
      <c r="B18" s="10">
        <v>85</v>
      </c>
      <c r="C18" s="13" t="s">
        <v>32</v>
      </c>
      <c r="F18" s="7" t="str">
        <v>湖北省</v>
      </c>
      <c r="G18">
        <f>VLOOKUP($F18,$A:$C,2,0)</f>
      </c>
    </row>
    <row r="19">
      <c r="A19" s="10" t="str">
        <v>内蒙古自治区</v>
      </c>
      <c r="B19" s="10">
        <v>90</v>
      </c>
      <c r="C19" s="13" t="s">
        <v>32</v>
      </c>
      <c r="F19" s="7" t="str">
        <v>湖南省</v>
      </c>
      <c r="G19">
        <f>VLOOKUP($F19,$A:$C,2,0)</f>
      </c>
    </row>
    <row r="20">
      <c r="A20" s="10" t="str">
        <v>宁夏回族自治区</v>
      </c>
      <c r="B20" s="10">
        <v>115</v>
      </c>
      <c r="C20" s="13" t="s">
        <v>32</v>
      </c>
      <c r="F20" s="7" t="str">
        <v>广东省</v>
      </c>
      <c r="G20">
        <f>VLOOKUP($F20,$A:$C,2,0)</f>
      </c>
    </row>
    <row r="21">
      <c r="A21" s="10" t="str">
        <v>青海省</v>
      </c>
      <c r="B21" s="10">
        <v>140</v>
      </c>
      <c r="C21" s="13" t="s">
        <v>32</v>
      </c>
      <c r="F21" s="7" t="str">
        <v>广西壮族自治区</v>
      </c>
      <c r="G21">
        <f>VLOOKUP($F21,$A:$C,2,0)</f>
      </c>
    </row>
    <row r="22">
      <c r="A22" s="10" t="str">
        <v>山东省</v>
      </c>
      <c r="B22" s="10">
        <v>100</v>
      </c>
      <c r="C22" s="13" t="s">
        <v>32</v>
      </c>
      <c r="F22" s="7" t="str">
        <v>海南省</v>
      </c>
      <c r="G22">
        <f>VLOOKUP($F22,$A:$C,2,0)</f>
      </c>
    </row>
    <row r="23">
      <c r="A23" s="10" t="str">
        <v>山西省</v>
      </c>
      <c r="B23" s="10">
        <v>80</v>
      </c>
      <c r="C23" s="13" t="s">
        <v>32</v>
      </c>
      <c r="F23" s="7" t="str">
        <v>重庆市</v>
      </c>
      <c r="G23">
        <f>VLOOKUP($F23,$A:$C,2,0)</f>
      </c>
    </row>
    <row r="24">
      <c r="A24" s="10" t="str">
        <v>陕西省</v>
      </c>
      <c r="B24" s="10">
        <v>75</v>
      </c>
      <c r="C24" s="13" t="s">
        <v>32</v>
      </c>
      <c r="F24" s="7" t="str">
        <v>四川省</v>
      </c>
      <c r="G24">
        <f>VLOOKUP($F24,$A:$C,2,0)</f>
      </c>
    </row>
    <row r="25">
      <c r="A25" s="10" t="str">
        <v>上海市</v>
      </c>
      <c r="B25" s="10">
        <v>750</v>
      </c>
      <c r="C25" s="13" t="s">
        <v>32</v>
      </c>
      <c r="F25" s="7" t="str">
        <v>贵州省</v>
      </c>
      <c r="G25">
        <f>VLOOKUP($F25,$A:$C,2,0)</f>
      </c>
    </row>
    <row r="26">
      <c r="A26" s="10" t="str">
        <v>四川省</v>
      </c>
      <c r="B26" s="10">
        <v>75</v>
      </c>
      <c r="C26" s="13" t="s">
        <v>32</v>
      </c>
      <c r="F26" s="7" t="str">
        <v>云南省</v>
      </c>
      <c r="G26">
        <f>VLOOKUP($F26,$A:$C,2,0)</f>
      </c>
    </row>
    <row r="27">
      <c r="A27" s="10" t="str">
        <v>天津市</v>
      </c>
      <c r="B27" s="10">
        <v>261</v>
      </c>
      <c r="C27" s="13" t="s">
        <v>32</v>
      </c>
      <c r="F27" s="7" t="str">
        <v>西藏自治区</v>
      </c>
      <c r="G27">
        <f>VLOOKUP($F27,$A:$C,2,0)</f>
      </c>
    </row>
    <row r="28">
      <c r="A28" s="10" t="str">
        <v>西藏自治区</v>
      </c>
      <c r="B28" s="10">
        <v>150</v>
      </c>
      <c r="C28" s="13" t="s">
        <v>32</v>
      </c>
      <c r="F28" s="7" t="str">
        <v>陕西省</v>
      </c>
      <c r="G28">
        <f>VLOOKUP($F28,$A:$C,2,0)</f>
      </c>
    </row>
    <row r="29">
      <c r="A29" s="10" t="str">
        <v>新疆维吾尔自治区</v>
      </c>
      <c r="B29" s="10">
        <v>115</v>
      </c>
      <c r="C29" s="13" t="s">
        <v>32</v>
      </c>
      <c r="F29" s="7" t="str">
        <v>甘肃省</v>
      </c>
      <c r="G29">
        <f>VLOOKUP($F29,$A:$C,2,0)</f>
      </c>
    </row>
    <row r="30">
      <c r="A30" s="10" t="str">
        <v>云南省</v>
      </c>
      <c r="B30" s="10">
        <v>75</v>
      </c>
      <c r="C30" s="13" t="s">
        <v>32</v>
      </c>
      <c r="F30" s="7" t="str">
        <v>青海省</v>
      </c>
      <c r="G30">
        <f>VLOOKUP($F30,$A:$C,2,0)</f>
      </c>
    </row>
    <row r="31">
      <c r="A31" s="10" t="str">
        <v>浙江省</v>
      </c>
      <c r="B31" s="10">
        <v>120</v>
      </c>
      <c r="C31" s="13" t="s">
        <v>32</v>
      </c>
      <c r="F31" s="7" t="str">
        <v>宁夏回族自治区</v>
      </c>
      <c r="G31">
        <f>VLOOKUP($F31,$A:$C,2,0)</f>
      </c>
    </row>
    <row r="32">
      <c r="A32" s="10" t="str">
        <v>重庆市</v>
      </c>
      <c r="B32" s="10">
        <v>95</v>
      </c>
      <c r="C32" s="13" t="s">
        <v>32</v>
      </c>
      <c r="F32" s="7" t="str">
        <v>新疆维吾尔自治区</v>
      </c>
      <c r="G32">
        <f>VLOOKUP($F32,$A:$C,2,0)</f>
      </c>
    </row>
  </sheetData>
  <hyperlinks>
    <hyperlink ref="C27" display="查看原文" r:id="rId1"/>
    <hyperlink ref="C31" display="查看原文" r:id="rId2"/>
    <hyperlink ref="C11" display="查看原文" r:id="rId3"/>
    <hyperlink ref="C13" display="查看原文" r:id="rId4"/>
    <hyperlink ref="C8" display="查看原文" r:id="rId5"/>
    <hyperlink ref="C5" display="查看原文" r:id="rId6"/>
    <hyperlink ref="C15" display="查看原文" r:id="rId7"/>
    <hyperlink ref="C18" display="查看原文" r:id="rId8"/>
    <hyperlink ref="C22" display="查看原文" r:id="rId9"/>
    <hyperlink ref="C19" display="查看原文" r:id="rId10"/>
    <hyperlink ref="C25" display="查看原文" r:id="rId11"/>
    <hyperlink ref="C16" display="查看原文" r:id="rId12"/>
    <hyperlink ref="C12" display="查看原文" r:id="rId13"/>
    <hyperlink ref="C17" display="查看原文" r:id="rId14"/>
    <hyperlink ref="C10" display="查看原文" r:id="rId15"/>
    <hyperlink ref="C24" display="查看原文" r:id="rId16"/>
    <hyperlink ref="C6" display="查看原文" r:id="rId17"/>
    <hyperlink ref="C2" display="查看原文" r:id="rId18"/>
    <hyperlink ref="C20" display="查看原文" r:id="rId19"/>
    <hyperlink ref="C32" display="查看原文" r:id="rId20"/>
    <hyperlink ref="C29" display="查看原文" r:id="rId21"/>
    <hyperlink ref="C21" display="查看原文" r:id="rId22"/>
    <hyperlink ref="C4" display="查看原文" r:id="rId23"/>
    <hyperlink ref="C28" display="查看原文" r:id="rId24"/>
    <hyperlink ref="C3" display="查看原文" r:id="rId25"/>
    <hyperlink ref="C23" display="查看原文" r:id="rId26"/>
    <hyperlink ref="C14" display="查看原文" r:id="rId27"/>
    <hyperlink ref="C26" display="查看原文" r:id="rId28"/>
    <hyperlink ref="C30" display="查看原文" r:id="rId29"/>
    <hyperlink ref="C9" display="查看原文" r:id="rId30"/>
    <hyperlink ref="C7" display="查看原文" r:id="rId31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</cols>
  <sheetData>
    <row r="1">
      <c r="A1" s="1" t="str">
        <v>省名</v>
      </c>
      <c r="B1" s="1" t="str">
        <v>在岗职工平均工资（元/年）</v>
      </c>
      <c r="E1" s="12" t="str">
        <v>中国统计年鉴2016</v>
      </c>
    </row>
    <row r="2">
      <c r="A2" s="14" t="str">
        <v>北京</v>
      </c>
      <c r="B2" s="6">
        <v>122749</v>
      </c>
      <c r="E2" s="12" t="str">
        <v>注意计算用的是上一年的社平工资</v>
      </c>
    </row>
    <row r="3">
      <c r="A3" s="14" t="str">
        <v>天津</v>
      </c>
      <c r="B3" s="6">
        <v>87806</v>
      </c>
    </row>
    <row r="4">
      <c r="A4" s="14" t="str">
        <v>河北</v>
      </c>
      <c r="B4" s="6">
        <v>56987</v>
      </c>
    </row>
    <row r="5">
      <c r="A5" s="14" t="str">
        <v>山西</v>
      </c>
      <c r="B5" s="6">
        <v>54975</v>
      </c>
    </row>
    <row r="6">
      <c r="A6" s="14" t="str">
        <v>内蒙古</v>
      </c>
      <c r="B6" s="6">
        <v>61994</v>
      </c>
    </row>
    <row r="7">
      <c r="A7" s="14" t="str">
        <v>辽宁</v>
      </c>
      <c r="B7" s="6">
        <v>57148</v>
      </c>
    </row>
    <row r="8">
      <c r="A8" s="14" t="str">
        <v>吉林</v>
      </c>
      <c r="B8" s="6">
        <v>57486</v>
      </c>
    </row>
    <row r="9">
      <c r="A9" s="14" t="str">
        <v>黑龙江</v>
      </c>
      <c r="B9" s="6">
        <v>55299</v>
      </c>
    </row>
    <row r="10">
      <c r="A10" s="14" t="str">
        <v>上海</v>
      </c>
      <c r="B10" s="6">
        <v>120503</v>
      </c>
    </row>
    <row r="11">
      <c r="A11" s="14" t="str">
        <v>江苏</v>
      </c>
      <c r="B11" s="6">
        <v>72684</v>
      </c>
    </row>
    <row r="12">
      <c r="A12" s="14" t="str">
        <v>浙江</v>
      </c>
      <c r="B12" s="6">
        <v>74644</v>
      </c>
    </row>
    <row r="13">
      <c r="A13" s="14" t="str">
        <v>安徽</v>
      </c>
      <c r="B13" s="6">
        <v>61289</v>
      </c>
    </row>
    <row r="14">
      <c r="A14" s="14" t="str">
        <v>福建</v>
      </c>
      <c r="B14" s="6">
        <v>63138</v>
      </c>
    </row>
    <row r="15">
      <c r="A15" s="14" t="str">
        <v>江西</v>
      </c>
      <c r="B15" s="6">
        <v>57470</v>
      </c>
    </row>
    <row r="16">
      <c r="A16" s="14" t="str">
        <v>山东</v>
      </c>
      <c r="B16" s="6">
        <v>63562</v>
      </c>
    </row>
    <row r="17">
      <c r="A17" s="14" t="str">
        <v>河南</v>
      </c>
      <c r="B17" s="6">
        <v>50028</v>
      </c>
    </row>
    <row r="18">
      <c r="A18" s="14" t="str">
        <v>湖北</v>
      </c>
      <c r="B18" s="6">
        <v>61113</v>
      </c>
    </row>
    <row r="19">
      <c r="A19" s="14" t="str">
        <v>湖南</v>
      </c>
      <c r="B19" s="6">
        <v>60160</v>
      </c>
    </row>
    <row r="20">
      <c r="A20" s="14" t="str">
        <v>广东</v>
      </c>
      <c r="B20" s="6">
        <v>72848</v>
      </c>
    </row>
    <row r="21">
      <c r="A21" s="14" t="str">
        <v>广西</v>
      </c>
      <c r="B21" s="6">
        <v>60239</v>
      </c>
    </row>
    <row r="22">
      <c r="A22" s="14" t="str">
        <v>海南</v>
      </c>
      <c r="B22" s="6">
        <v>62565</v>
      </c>
    </row>
    <row r="23">
      <c r="A23" s="14" t="str">
        <v>重庆</v>
      </c>
      <c r="B23" s="6">
        <v>67386</v>
      </c>
    </row>
    <row r="24">
      <c r="A24" s="14" t="str">
        <v>四川</v>
      </c>
      <c r="B24" s="6">
        <v>65781</v>
      </c>
    </row>
    <row r="25">
      <c r="A25" s="14" t="str">
        <v>贵州</v>
      </c>
      <c r="B25" s="6">
        <v>69678</v>
      </c>
    </row>
    <row r="26">
      <c r="A26" s="14" t="str">
        <v>云南</v>
      </c>
      <c r="B26" s="6">
        <v>63562</v>
      </c>
    </row>
    <row r="27">
      <c r="A27" s="14" t="str">
        <v>西藏</v>
      </c>
      <c r="B27" s="6">
        <v>110330</v>
      </c>
    </row>
    <row r="28">
      <c r="A28" s="14" t="str">
        <v>陕西</v>
      </c>
      <c r="B28" s="6">
        <v>61626</v>
      </c>
    </row>
    <row r="29">
      <c r="A29" s="14" t="str">
        <v>甘肃</v>
      </c>
      <c r="B29" s="6">
        <v>59549</v>
      </c>
    </row>
    <row r="30">
      <c r="A30" s="14" t="str">
        <v>青海</v>
      </c>
      <c r="B30" s="6">
        <v>67451</v>
      </c>
    </row>
    <row r="31">
      <c r="A31" s="14" t="str">
        <v>宁夏</v>
      </c>
      <c r="B31" s="6">
        <v>67830</v>
      </c>
    </row>
    <row r="32">
      <c r="A32" s="14" t="str">
        <v>新疆</v>
      </c>
      <c r="B32" s="6">
        <v>64630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4"/>
    <col collapsed="false" customWidth="true" hidden="false" max="5" min="5" style="0" width="14"/>
    <col collapsed="false" customWidth="true" hidden="true" max="5" min="5" style="0" width="14"/>
  </cols>
  <sheetData>
    <row r="1">
      <c r="A1" s="4" t="str">
        <v>省名</v>
      </c>
      <c r="B1" s="4" t="str">
        <v>年缴费基数</v>
      </c>
      <c r="C1" s="4" t="str">
        <v>缴费指数</v>
      </c>
      <c r="D1" s="4" t="str">
        <v>缴费比例</v>
      </c>
      <c r="E1" s="12" t="str">
        <v>参考链接</v>
      </c>
      <c r="F1" s="1" t="str">
        <v>缴费指数（下限）</v>
      </c>
      <c r="G1" s="1" t="str">
        <v>缴费指数（上限）</v>
      </c>
      <c r="H1" s="1" t="str">
        <v>可选档次规则</v>
      </c>
      <c r="J1">
        <f>"为我搜索2016年"&amp;A1&amp;"灵活就业人员城镇职工养老保险的年缴费基数、缴费指数和缴费比例，给出可点击的、存在的参考链接，特别要说明是固定档次还是自主选择。"</f>
      </c>
    </row>
    <row r="2">
      <c r="A2" s="7" t="str">
        <v>北京市</v>
      </c>
      <c r="B2">
        <f>7086*12</f>
      </c>
      <c r="C2" s="7" t="str">
        <v>可在 2015 年度全省在岗职工月平均工资的 40%、60%、100% 三档自主选择</v>
      </c>
      <c r="D2" s="11">
        <v>0.2</v>
      </c>
      <c r="E2" t="s">
        <v>36</v>
      </c>
      <c r="J2">
        <f>"为我搜索2016年"&amp;A2&amp;"灵活就业人员城镇职工养老保险的年缴费基数、缴费指数和缴费比例，给出可点击的、存在的参考链接，特别要说明是固定档次还是自主选择。"</f>
      </c>
    </row>
    <row r="3">
      <c r="A3" s="7" t="str">
        <v>天津市</v>
      </c>
      <c r="B3" s="12">
        <f>6350*12</f>
      </c>
      <c r="C3" s="7" t="str">
        <v>可在 2015 年度全省在岗在岗职工月平均工资的 46% 至 100% 之间自主选择，基准值为 100%</v>
      </c>
      <c r="D3" s="11">
        <v>0.2</v>
      </c>
      <c r="E3" t="s">
        <v>56</v>
      </c>
      <c r="J3">
        <f>"为我搜索2016年"&amp;A3&amp;"灵活就业人员城镇职工养老保险的年缴费基数、缴费指数和缴费比例，给出可点击的、存在的参考链接，特别要说明是固定档次还是自主选择。"</f>
      </c>
    </row>
    <row r="4">
      <c r="A4" s="7" t="str">
        <v>河北省</v>
      </c>
      <c r="B4">
        <v>52409</v>
      </c>
      <c r="C4" s="7" t="str">
        <v>可在 2015 年度全省在岗职工月平均工资的 40%、60%、100%、200%、300% 五档自主选择</v>
      </c>
      <c r="D4" s="11">
        <v>0.2</v>
      </c>
      <c r="E4" t="s">
        <v>60</v>
      </c>
      <c r="J4">
        <f>"为我搜索2016年"&amp;A4&amp;"灵活就业人员城镇职工养老保险的年缴费基数、缴费指数和缴费比例，给出可点击的、存在的参考链接，特别要说明是固定档次还是自主选择。"</f>
      </c>
    </row>
    <row r="5">
      <c r="A5" s="7" t="str">
        <v>山西省</v>
      </c>
      <c r="B5">
        <v>52960</v>
      </c>
      <c r="C5" s="7" t="str">
        <v>可在 2015 年度全省在岗职工月平均工资的 40%、60%、100% 三档自主选择</v>
      </c>
      <c r="D5" s="11">
        <v>0.2</v>
      </c>
      <c r="E5" t="s">
        <v>48</v>
      </c>
      <c r="J5">
        <f>"为我搜索2016年"&amp;A5&amp;"灵活就业人员城镇职工养老保险的年缴费基数、缴费指数和缴费比例，给出可点击的、存在的参考链接，特别要说明是固定档次还是自主选择。"</f>
      </c>
    </row>
    <row r="6">
      <c r="A6" s="7" t="str">
        <v>内蒙古自治区</v>
      </c>
      <c r="B6">
        <v>57870</v>
      </c>
      <c r="C6" s="7" t="str">
        <v>可在 2015 年度全省在岗职工月平均工资的 50%、60%、80%、100%、200%、300% 六档自主选择</v>
      </c>
      <c r="D6" s="11">
        <v>0.2</v>
      </c>
      <c r="E6" t="s">
        <v>52</v>
      </c>
      <c r="J6">
        <f>"为我搜索2016年"&amp;A6&amp;"灵活就业人员城镇职工养老保险的年缴费基数、缴费指数和缴费比例，给出可点击的、存在的参考链接，特别要说明是固定档次还是自主选择。"</f>
      </c>
    </row>
    <row r="7">
      <c r="A7" s="7" t="str">
        <v>辽宁省</v>
      </c>
      <c r="B7">
        <v>53458</v>
      </c>
      <c r="C7" s="7" t="str">
        <v>可在 2015 年度全省在岗职工月平均工资的 60%、70%、80%、90%、100%、200%、300% 七档自主选择</v>
      </c>
      <c r="D7" s="11">
        <v>0.2</v>
      </c>
      <c r="E7" t="s">
        <v>40</v>
      </c>
      <c r="J7">
        <f>"为我搜索2016年"&amp;A7&amp;"灵活就业人员城镇职工养老保险的年缴费基数、缴费指数和缴费比例，给出可点击的、存在的参考链接，特别要说明是固定档次还是自主选择。"</f>
      </c>
    </row>
    <row r="8">
      <c r="A8" s="7" t="str">
        <v>吉林省</v>
      </c>
      <c r="B8">
        <v>51558</v>
      </c>
      <c r="C8" s="7" t="str">
        <v>可在 2015 年度全省在岗职工月平均工资的 60%、80%、100%、110%、120% 五档自主选择</v>
      </c>
      <c r="D8" s="11">
        <v>0.2</v>
      </c>
      <c r="E8" t="s">
        <v>44</v>
      </c>
      <c r="J8">
        <f>"为我搜索2016年"&amp;A8&amp;"灵活就业人员城镇职工养老保险的年缴费基数、缴费指数和缴费比例，给出可点击的、存在的参考链接，特别要说明是固定档次还是自主选择。"</f>
      </c>
    </row>
    <row r="9">
      <c r="A9" s="7" t="str">
        <v>黑龙江省</v>
      </c>
      <c r="B9">
        <v>47040</v>
      </c>
      <c r="C9" s="7" t="str">
        <v>可在 2015 年度全省在岗职工月平均工资的 60%、70%、80%、90%、100% 五档自主选择</v>
      </c>
      <c r="D9" s="11">
        <v>0.2</v>
      </c>
      <c r="E9" t="s">
        <v>61</v>
      </c>
      <c r="J9">
        <f>"为我搜索2016年"&amp;A9&amp;"灵活就业人员城镇职工养老保险的年缴费基数、缴费指数和缴费比例，给出可点击的、存在的参考链接，特别要说明是固定档次还是自主选择。"</f>
      </c>
    </row>
    <row r="10">
      <c r="A10" s="7" t="str">
        <v>上海市</v>
      </c>
      <c r="B10">
        <v>71268</v>
      </c>
      <c r="C10" s="7" t="str">
        <v>可在 2015 年度全省在岗职工月平均工资的 60% 至 300% 之间自主选择</v>
      </c>
      <c r="D10" s="11">
        <v>0.28</v>
      </c>
      <c r="E10" t="s">
        <v>33</v>
      </c>
      <c r="J10">
        <f>"为我搜索2016年"&amp;A10&amp;"灵活就业人员城镇职工养老保险的年缴费基数、缴费指数和缴费比例，给出可点击的、存在的参考链接，特别要说明是固定档次还是自主选择。"</f>
      </c>
    </row>
    <row r="11">
      <c r="A11" s="7" t="str">
        <v>江苏省</v>
      </c>
      <c r="B11">
        <v>67200</v>
      </c>
      <c r="C11" s="7" t="str">
        <v>可在 2015 年度全省在岗职工月平均工资的 60% 至 300% 之间自主选择</v>
      </c>
      <c r="D11" s="11">
        <v>0.2</v>
      </c>
      <c r="E11" t="s">
        <v>53</v>
      </c>
      <c r="J11">
        <f>"为我搜索2016年"&amp;A11&amp;"灵活就业人员城镇职工养老保险的年缴费基数、缴费指数和缴费比例，给出可点击的、存在的参考链接，特别要说明是固定档次还是自主选择。"</f>
      </c>
    </row>
    <row r="12">
      <c r="A12" s="7" t="str">
        <v>浙江省</v>
      </c>
      <c r="B12">
        <v>51719</v>
      </c>
      <c r="C12" s="7" t="str">
        <v>可在 2015 年度全省在岗职工月平均工资的 80% 至 300% 之间自主选择</v>
      </c>
      <c r="D12" s="11">
        <v>0.18</v>
      </c>
      <c r="E12" t="s">
        <v>57</v>
      </c>
      <c r="J12">
        <f>"为我搜索2016年"&amp;A12&amp;"灵活就业人员城镇职工养老保险的年缴费基数、缴费指数和缴费比例，给出可点击的、存在的参考链接，特别要说明是固定档次还是自主选择。"</f>
      </c>
    </row>
    <row r="13">
      <c r="A13" s="7" t="str">
        <v>安徽省</v>
      </c>
      <c r="B13">
        <v>56974</v>
      </c>
      <c r="C13" s="7" t="str">
        <v>可在 2015 年度全省在岗职工月平均工资的 60%、70%、80%、90%、100% 五档自主选择</v>
      </c>
      <c r="D13" s="11">
        <v>0.2</v>
      </c>
      <c r="E13" t="s">
        <v>45</v>
      </c>
      <c r="J13">
        <f>"为我搜索2016年"&amp;A13&amp;"灵活就业人员城镇职工养老保险的年缴费基数、缴费指数和缴费比例，给出可点击的、存在的参考链接，特别要说明是固定档次还是自主选择。"</f>
      </c>
    </row>
    <row r="14">
      <c r="A14" s="7" t="str">
        <v>福建省</v>
      </c>
      <c r="B14">
        <v>25200</v>
      </c>
      <c r="C14" s="7" t="str">
        <v>可在 2015 年度全省在岗职工月平均工资的 60% 至 300% 之间自主选择</v>
      </c>
      <c r="D14" s="11">
        <v>0.2</v>
      </c>
      <c r="E14" s="12" t="s">
        <v>49</v>
      </c>
      <c r="J14">
        <f>"为我搜索2016年"&amp;A14&amp;"灵活就业人员城镇职工养老保险的年缴费基数、缴费指数和缴费比例，给出可点击的、存在的参考链接，特别要说明是固定档次还是自主选择。"</f>
      </c>
    </row>
    <row r="15">
      <c r="A15" s="7" t="str">
        <v>江西省</v>
      </c>
      <c r="B15">
        <v>50928</v>
      </c>
      <c r="C15" s="7" t="str">
        <v>可在 2015 年度全省在岗职工月平均工资的 60%、80%、100%、200%、300% 五档自主选择</v>
      </c>
      <c r="D15" s="11">
        <v>0.2</v>
      </c>
      <c r="E15" t="s">
        <v>37</v>
      </c>
      <c r="J15">
        <f>"为我搜索2016年"&amp;A15&amp;"灵活就业人员城镇职工养老保险的年缴费基数、缴费指数和缴费比例，给出可点击的、存在的参考链接，特别要说明是固定档次还是自主选择。"</f>
      </c>
    </row>
    <row r="16">
      <c r="A16" s="7" t="str">
        <v>山东省</v>
      </c>
      <c r="B16">
        <v>58197</v>
      </c>
      <c r="C16" s="7" t="str">
        <v>可在 2015 年度全省在岗职工月平均工资的 60%、80%、100%三档自主选择</v>
      </c>
      <c r="D16" s="11">
        <v>0.2</v>
      </c>
      <c r="E16" t="s">
        <v>41</v>
      </c>
      <c r="J16">
        <f>"为我搜索2016年"&amp;A16&amp;"灵活就业人员城镇职工养老保险的年缴费基数、缴费指数和缴费比例，给出可点击的、存在的参考链接，特别要说明是固定档次还是自主选择。"</f>
      </c>
    </row>
    <row r="17">
      <c r="A17" s="7" t="str">
        <v>河南省</v>
      </c>
      <c r="B17">
        <v>45920</v>
      </c>
      <c r="C17" s="7" t="str">
        <v>可在 2015 年度全省在岗职工月平均工资的 60%、100%、200%、300% 四档自主选择</v>
      </c>
      <c r="D17" s="11">
        <v>0.2</v>
      </c>
      <c r="E17" t="s">
        <v>62</v>
      </c>
      <c r="J17">
        <f>"为我搜索2016年"&amp;A17&amp;"灵活就业人员城镇职工养老保险的年缴费基数、缴费指数和缴费比例，给出可点击的、存在的参考链接，特别要说明是固定档次还是自主选择。"</f>
      </c>
    </row>
    <row r="18">
      <c r="A18" s="7" t="str">
        <v>湖北省</v>
      </c>
      <c r="B18">
        <v>55237</v>
      </c>
      <c r="C18" s="12" t="str">
        <v>可在 2015 年度全省在岗职工月平均工资的50%、60%、80%、100%、200%、300%六档档自主选择</v>
      </c>
      <c r="D18" s="11">
        <v>0.2</v>
      </c>
      <c r="E18" t="s">
        <v>34</v>
      </c>
      <c r="J18">
        <f>"为我搜索2016年"&amp;A18&amp;"灵活就业人员城镇职工养老保险的年缴费基数、缴费指数和缴费比例，给出可点击的、存在的参考链接，特别要说明是固定档次还是自主选择。"</f>
      </c>
    </row>
    <row r="19">
      <c r="A19" s="7" t="str">
        <v>湖南省</v>
      </c>
      <c r="B19">
        <v>53889</v>
      </c>
      <c r="C19" s="7" t="str">
        <v>可在 2015 年度全省在岗职工月平均工资的 60%、100% 两档自主选择</v>
      </c>
      <c r="D19" s="11">
        <v>0.2</v>
      </c>
      <c r="E19" t="s">
        <v>54</v>
      </c>
      <c r="J19">
        <f>"为我搜索2016年"&amp;A19&amp;"灵活就业人员城镇职工养老保险的年缴费基数、缴费指数和缴费比例，给出可点击的、存在的参考链接，特别要说明是固定档次还是自主选择。"</f>
      </c>
    </row>
    <row r="20">
      <c r="A20" s="7" t="str">
        <v>广东省</v>
      </c>
      <c r="B20">
        <v>66300</v>
      </c>
      <c r="C20" s="7" t="str">
        <v>可在 2015 年度全省在岗职工月平均工资的 60% 至 300% 之间自主选择</v>
      </c>
      <c r="D20" s="11">
        <v>0.2</v>
      </c>
      <c r="E20" t="s">
        <v>58</v>
      </c>
      <c r="J20">
        <f>"为我搜索2016年"&amp;A20&amp;"灵活就业人员城镇职工养老保险的年缴费基数、缴费指数和缴费比例，给出可点击的、存在的参考链接，特别要说明是固定档次还是自主选择。"</f>
      </c>
    </row>
    <row r="21">
      <c r="A21" s="7" t="str">
        <v>广西壮族自治区</v>
      </c>
      <c r="B21">
        <v>54983</v>
      </c>
      <c r="C21" s="7" t="str">
        <v>可在 2015 年度全省在岗职工月平均工资的 60%、70%、80%、90%、100% 五档自主选择</v>
      </c>
      <c r="D21" s="11">
        <v>0.2</v>
      </c>
      <c r="E21" t="s">
        <v>46</v>
      </c>
      <c r="J21">
        <f>"为我搜索2016年"&amp;A21&amp;"灵活就业人员城镇职工养老保险的年缴费基数、缴费指数和缴费比例，给出可点击的、存在的参考链接，特别要说明是固定档次还是自主选择。"</f>
      </c>
    </row>
    <row r="22">
      <c r="A22" s="7" t="str">
        <v>海南省</v>
      </c>
      <c r="B22">
        <v>58406</v>
      </c>
      <c r="C22" s="7" t="str">
        <v>可在 2015 年度全省在岗职工月平均工资的 60% 至 300% 之间自主选择</v>
      </c>
      <c r="D22" s="11">
        <v>0.2</v>
      </c>
      <c r="E22" t="s">
        <v>50</v>
      </c>
      <c r="J22">
        <f>"为我搜索2016年"&amp;A22&amp;"灵活就业人员城镇职工养老保险的年缴费基数、缴费指数和缴费比例，给出可点击的、存在的参考链接，特别要说明是固定档次还是自主选择。"</f>
      </c>
    </row>
    <row r="23">
      <c r="A23" s="7" t="str">
        <v>重庆市</v>
      </c>
      <c r="B23">
        <v>62100</v>
      </c>
      <c r="C23" s="7" t="str">
        <v>可在 2015 年度全省在岗职工月平均工资的 60% 至 100% 之间自主选择</v>
      </c>
      <c r="D23" s="11">
        <v>0.2</v>
      </c>
      <c r="E23" t="s">
        <v>38</v>
      </c>
      <c r="J23">
        <f>"为我搜索2016年"&amp;A23&amp;"灵活就业人员城镇职工养老保险的年缴费基数、缴费指数和缴费比例，给出可点击的、存在的参考链接，特别要说明是固定档次还是自主选择。"</f>
      </c>
    </row>
    <row r="24">
      <c r="A24" s="7" t="str">
        <v>四川省</v>
      </c>
      <c r="B24">
        <v>60516</v>
      </c>
      <c r="C24" s="7" t="str">
        <v>可在 2015 年度全省在岗职工月平均工资的 40%、50%、60%、70%、80%、90%、100% 七档自主选择</v>
      </c>
      <c r="D24" s="11">
        <v>0.2</v>
      </c>
      <c r="E24" t="s">
        <v>42</v>
      </c>
      <c r="J24">
        <f>"为我搜索2016年"&amp;A24&amp;"灵活就业人员城镇职工养老保险的年缴费基数、缴费指数和缴费比例，给出可点击的、存在的参考链接，特别要说明是固定档次还是自主选择。"</f>
      </c>
    </row>
    <row r="25">
      <c r="A25" s="7" t="str">
        <v>贵州省</v>
      </c>
      <c r="B25">
        <v>54637</v>
      </c>
      <c r="C25" s="7" t="str">
        <v>可在 2015 年度全省在岗职工月平均工资的 40% 至 300% 之间自主选择</v>
      </c>
      <c r="D25" s="11">
        <v>0.2</v>
      </c>
      <c r="E25" t="s">
        <v>63</v>
      </c>
      <c r="J25">
        <f>"为我搜索2016年"&amp;A25&amp;"灵活就业人员城镇职工养老保险的年缴费基数、缴费指数和缴费比例，给出可点击的、存在的参考链接，特别要说明是固定档次还是自主选择。"</f>
      </c>
    </row>
    <row r="26">
      <c r="A26" s="7" t="str">
        <v>云南省</v>
      </c>
      <c r="B26">
        <v>55025</v>
      </c>
      <c r="C26" s="7" t="str">
        <v>可在 2015 年度全省在岗职工月平均工资的 40%、60%、100% 三档自主选择</v>
      </c>
      <c r="D26" s="11">
        <v>0.2</v>
      </c>
      <c r="E26" t="s">
        <v>35</v>
      </c>
      <c r="J26">
        <f>"为我搜索2016年"&amp;A26&amp;"灵活就业人员城镇职工养老保险的年缴费基数、缴费指数和缴费比例，给出可点击的、存在的参考链接，特别要说明是固定档次还是自主选择。"</f>
      </c>
    </row>
    <row r="27">
      <c r="A27" s="7" t="str">
        <v>西藏自治区</v>
      </c>
      <c r="B27">
        <v>71148</v>
      </c>
      <c r="C27" s="7" t="str">
        <v>可在 2015 年度全省在岗职工月平均工资的 100% 一档自主选择</v>
      </c>
      <c r="D27" s="11">
        <v>0.2</v>
      </c>
      <c r="E27" t="s">
        <v>55</v>
      </c>
      <c r="J27">
        <f>"为我搜索2016年"&amp;A27&amp;"灵活就业人员城镇职工养老保险的年缴费基数、缴费指数和缴费比例，给出可点击的、存在的参考链接，特别要说明是固定档次还是自主选择。"</f>
      </c>
    </row>
    <row r="28">
      <c r="A28" s="7" t="str">
        <v>陕西省</v>
      </c>
      <c r="B28">
        <v>56896</v>
      </c>
      <c r="C28" s="7" t="str">
        <v>可在 2015 年度全省在岗职工月平均工资的 40%、50%、60%、70%、80%、90%、100% 七档自主选择</v>
      </c>
      <c r="D28" s="11">
        <v>0.2</v>
      </c>
      <c r="E28" t="s">
        <v>59</v>
      </c>
      <c r="J28">
        <f>"为我搜索2016年"&amp;A28&amp;"灵活就业人员城镇职工养老保险的年缴费基数、缴费指数和缴费比例，给出可点击的、存在的参考链接，特别要说明是固定档次还是自主选择。"</f>
      </c>
    </row>
    <row r="29">
      <c r="A29" s="7" t="str">
        <v>甘肃省</v>
      </c>
      <c r="B29">
        <v>54454</v>
      </c>
      <c r="C29" s="7" t="str">
        <v>可在 2015 年度全省在岗职工月平均工资的 60% 至 300% 之间自主选择</v>
      </c>
      <c r="D29" s="11">
        <v>0.2</v>
      </c>
      <c r="E29" t="s">
        <v>47</v>
      </c>
      <c r="J29">
        <f>"为我搜索2016年"&amp;A29&amp;"灵活就业人员城镇职工养老保险的年缴费基数、缴费指数和缴费比例，给出可点击的、存在的参考链接，特别要说明是固定档次还是自主选择。"</f>
      </c>
    </row>
    <row r="30">
      <c r="A30" s="7" t="str">
        <v>青海省</v>
      </c>
      <c r="B30">
        <v>61868</v>
      </c>
      <c r="C30" s="7" t="str">
        <v>可在 2015 年度全省在岗职工月平均工资的 60%、70%、80%、90%、100% 五档自主选择</v>
      </c>
      <c r="D30" s="11">
        <v>0.2</v>
      </c>
      <c r="E30" t="s">
        <v>51</v>
      </c>
      <c r="J30">
        <f>"为我搜索2016年"&amp;A30&amp;"灵活就业人员城镇职工养老保险的年缴费基数、缴费指数和缴费比例，给出可点击的、存在的参考链接，特别要说明是固定档次还是自主选择。"</f>
      </c>
    </row>
    <row r="31">
      <c r="A31" s="7" t="str">
        <v>宁夏回族自治区</v>
      </c>
      <c r="B31">
        <v>62482</v>
      </c>
      <c r="C31" s="7" t="str">
        <v>可在 2015 年度全省在岗职工月平均工资的 40%、50%、60%、70%、80%、90%、100% 七档自主选择</v>
      </c>
      <c r="D31" s="11">
        <v>0.2</v>
      </c>
      <c r="E31" t="s">
        <v>39</v>
      </c>
      <c r="J31">
        <f>"为我搜索2016年"&amp;A31&amp;"灵活就业人员城镇职工养老保险的年缴费基数、缴费指数和缴费比例，给出可点击的、存在的参考链接，特别要说明是固定档次还是自主选择。"</f>
      </c>
    </row>
    <row r="32">
      <c r="A32" s="7" t="str">
        <v>新疆维吾尔自治区</v>
      </c>
      <c r="B32">
        <v>53004</v>
      </c>
      <c r="C32" s="7" t="str">
        <v>可在 2015 年度全省在岗职工月平均工资的 50%、60%、100% 三档自主选择</v>
      </c>
      <c r="D32" s="11">
        <v>0.2</v>
      </c>
      <c r="E32" t="s">
        <v>43</v>
      </c>
      <c r="J32">
        <f>"为我搜索2016年"&amp;A32&amp;"灵活就业人员城镇职工养老保险的年缴费基数、缴费指数和缴费比例，给出可点击的、存在的参考链接，特别要说明是固定档次还是自主选择。"</f>
      </c>
    </row>
  </sheetData>
  <hyperlinks>
    <hyperlink ref="E17" display="http://www.zzsi.com/site-data/sbzx/html/2023/04/23/1466956800.html" r:id="rId1"/>
    <hyperlink ref="E7" display="https://m12333.cn/policy/mecm.html" r:id="rId2"/>
    <hyperlink ref="E16" display="https://sd.dzwww.com/sdnews/201606/t20160613_14450360.htm" r:id="rId3"/>
    <hyperlink ref="E4" display="https://rsj.lf.gov.cn/ecdomain/fileHandle.do?action=read&amp;objectID=20160714101900329&amp;infoChecked=0" r:id="rId4"/>
    <hyperlink ref="E14" display="https://rst.fujian.gov.cn/zw/zfxxgk/zfxxgkml/zyywgz/ldgx/201510/t20151008_922839.htm" r:id="rId5"/>
    <hyperlink ref="E29" display="https://www.jyg.gov.cn/rsj/zwxxgk/zc/gfxwj/shbx/art/2022/art_045e7d30a2604c1c9d671c4b0a10f2c2.html?f_link_type=f_linkinlinenote&amp;flow_extra=eyJpbmxpbmVfZGlzcGxheV9wb3NpdGlvbiI6MCwiZG9jX3Bvc2l0aW9uIjowLCJkb2NfaWQiOiIyOWE0ZDFhOWUwN2EwMTkwLTRhNTQ3ZGIwMDFhOWVjZjMifQ%3D%3D" r:id="rId6"/>
    <hyperlink ref="E3" display="https://hrss.tj.gov.cn/zhengwugongkai/zhengcezhinan/zxwjnew/202012/t20201206_4491283.html" r:id="rId7"/>
    <hyperlink ref="E6" display="http://www.blyq.gov.cn/jrbl/bmdt/201609/t20160922_1826555.html" r:id="rId8"/>
    <hyperlink ref="E19" display="https://rst.hunan.gov.cn/rst/xxgk/zfxxgknb/201708/t20170810_4387914.html" r:id="rId9"/>
    <hyperlink ref="E30" display="http://www.qinghai.gov.cn/zwgk/system/2016/06/30/010222427.shtml?f_link_type=f_linkinlinenote&amp;flow_extra=eyJkb2NfcG9zaXRpb24iOjAsImRvY19pZCI6IjQ1Mjk2MDc3NDI0YjI1NzEtNzBjZGM1ZTQwZDVkNDBjYiIsImlubGluZV9kaXNwbGF5X3Bvc2l0aW9uIjowfQ%3D%3D" r:id="rId10"/>
    <hyperlink ref="E28" display="https://www.sxshbzj.cn/newstyle/pub_newsshow.asp?chid=100160&amp;f_link_type=f_linkinlinenote&amp;flow_extra=eyJpbmxpbmVfZGlzcGxheV9wb3NpdGlvbiI6MCwiZG9jX3Bvc2l0aW9uIjowLCJkb2NfaWQiOiJkYjM4MDNmMDY0YzhmZDNkLTJhNjZhZDMzMmVjYjRhZTIifQ%3D%3D&amp;id=29010233" r:id="rId11"/>
    <hyperlink ref="E9" display="https://www.hlj.gov.cn/hlj/c108036/201611/c00_30644886.shtml" r:id="rId12"/>
    <hyperlink ref="E21" display="http://rsj.wuzhou.gov.cn/zwdt/t523858.shtml?f_link_type=f_linkinlinenote&amp;flow_extra=eyJpbmxpbmVfZGlzcGxheV9wb3NpdGlvbiI6MCwiZG9jX3Bvc2l0aW9uIjowLCJkb2NfaWQiOiI3M2E2ODcyMzVhN2NiOWE0LWE0YWFjZTIwOWNhMzk3OTAifQ%3D%3D" r:id="rId13"/>
    <hyperlink ref="E26" display="https://www.yncj.gov.cn/cjxzfxxgk/tzgg5614/20160531/259083.html?f_link_type=f_linkinlinenote&amp;flow_extra=eyJpbmxpbmVfZGlzcGxheV9wb3NpdGlvbiI6MCwiZG9jX3Bvc2l0aW9uIjowLCJkb2NfaWQiOiI5MDQ5MzI0NTJlNmRjMzM5LWMwOWM0YjExOGFhY2YxMTIifQ%3D%3D" r:id="rId14"/>
    <hyperlink ref="E13" display="https://rsj.luan.gov.cn/rsgz/shbz/gsbxian/zcwj/2759001.html" r:id="rId15"/>
    <hyperlink ref="E5" display="https://rst.shanxi.gov.cn/ztzl/shbxj/gzdt_565/201606/P020211027660767310006.pdf" r:id="rId16"/>
    <hyperlink ref="E25" display="https://rst.guizhou.gov.cn/zwgk/zdlyxx/sbxx/201711/t20171118_63499881.html?f_link_type=f_linkinlinenote&amp;flow_extra=eyJkb2NfcG9zaXRpb24iOjAsImRvY19pZCI6IjA3YWQyYjg0OTdkYmE2ZTgtNzJmYTEyMGIzYjI1MGE3MCIsImlubGluZV9kaXNwbGF5X3Bvc2l0aW9uIjowfQ%3D%3D" r:id="rId17"/>
    <hyperlink ref="E23" display="https://m.cq.bendibao.com/news/64730.shtm" r:id="rId18"/>
    <hyperlink ref="E31" display="https://hrss.nx.gov.cn/xxgk/zcj/zcfg/shbz/201607/t20160705_581390.html?f_link_type=f_linkinlinenote&amp;flow_extra=eyJkb2NfaWQiOiJiZGQzZjE4YTU4Mjc5OTI0LTlhY2IwZjg0NWQ1NjJmMTQiLCJpbmxpbmVfZGlzcGxheV9wb3NpdGlvbiI6MCwiZG9jX3Bvc2l0aW9uIjowfQ%3D%3D" r:id="rId19"/>
    <hyperlink ref="E24" display="https://www.neijiang.gov.cn/njs/ssqk3/201609/f74c1975785646a582c4ae67fd4335ba.shtml?f_link_type=f_linkinlinenote&amp;flow_extra=eyJpbmxpbmVfZGlzcGxheV9wb3NpdGlvbiI6MCwiZG9jX3Bvc2l0aW9uIjowLCJkb2NfaWQiOiI4ZmNmMDUzNmYzOGU1ZTc4LTg1YjdkNGFiYjJjYzQ1ZjAifQ%3D%3D" r:id="rId20"/>
    <hyperlink ref="E2" display="https://www.beijing.gov.cn/gate/big5/www.beijing.gov.cn/zhengce/zhengcefagui/201905/t20190522_59179.html?f_link_type=f_linkinlinenote&amp;flow_extra=eyJkb2NfcG9zaXRpb24iOjAsImRvY19pZCI6IjNhNGQ4YWY3NTY5MGFjMGQtNzdiNjI2OTU1MDE0M2FiYiIsImlubGluZV9kaXNwbGF5X3Bvc2l0aW9uIjowfQ%3D%3D" r:id="rId21"/>
    <hyperlink ref="E10" display="https://rsj.sh.gov.cn/tmsztc_17502/20200617/t0035_1378706.html" r:id="rId22"/>
    <hyperlink ref="E27" display="https://www.xizang.gov.cn/zwgk/xxfb/zcjd_435/201901/t20190117_52742.html" r:id="rId23"/>
    <hyperlink ref="E32" display="https://rst.xinjiang.gov.cn/xjrst/c112710/201607/880f5c1f76fd4200af0b8ce3b59b6fcd.shtml" r:id="rId24"/>
    <hyperlink ref="E18" display="https://m.wh.bendibao.com/live/81114.shtm" r:id="rId25"/>
    <hyperlink ref="E11" display="https://rsj.nanjing.gov.cn/njsrlzyhshbzj/201810/t20181021_540337.html?f_link_type=f_linkinlinenote&amp;flow_extra=eyJpbmxpbmVfZGlzcGxheV9wb3NpdGlvbiI6MCwiZG9jX3Bvc2l0aW9uIjowLCJkb2NfaWQiOiIzM2ZlMTJiZmM5YTRmYzgxLTJlZDZiM2FhNjA2YmU2ZjUifQ%3D%3D" r:id="rId26"/>
    <hyperlink ref="E20" display="https://guangdong.chinatax.gov.cn/gdsw/ssfggds/2016-03/28/content_e05c85bd497d465b9b7ba153a387585b.shtml" r:id="rId27"/>
    <hyperlink ref="E22" display="https://rsj.haikou.gov.cn/xxgk/zcfg/bmzcwj/201703/t770936.shtml?f_link_type=f_linkinlinenote&amp;flow_extra=eyJpbmxpbmVfZGlzcGxheV9wb3NpdGlvbiI6MCwiZG9jX3Bvc2l0aW9uIjowLCJkb2NfaWQiOiJhY2VhMTRiMGY0M2ZlZTIzLWQzMmY3MDc3MDliNDUwNjcifQ%3D%3D" r:id="rId28"/>
    <hyperlink ref="E8" display="https://news.cnjiwang.com/jlxwdt/jl/201606/2090083.html" r:id="rId29"/>
    <hyperlink ref="E12" display="https://hrss.wenzhou.gov.cn/art/2016/7/5/art_1330450_7593943.html" r:id="rId30"/>
    <hyperlink ref="E15" display="https://jx.cnr.cn/caijing/cjyw/20160107/t20160107_521057610.shtml" r:id="rId31"/>
  </hyperlink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6" t="str">
        <v>省名</v>
      </c>
      <c r="B1" s="16" t="str">
        <v>年缴费基数</v>
      </c>
      <c r="C1" s="16" t="str">
        <v>缴费指数</v>
      </c>
      <c r="D1" s="16" t="str">
        <v>缴费比例</v>
      </c>
      <c r="E1" s="16" t="str">
        <v>参考链接</v>
      </c>
      <c r="F1" s="16" t="str">
        <v>缴费指数（下限）</v>
      </c>
      <c r="G1" s="16" t="str">
        <v>缴费指数（上限）</v>
      </c>
      <c r="H1" s="16" t="str">
        <v>可选档次规则</v>
      </c>
      <c r="K1" s="15" t="str">
        <v>选档规则</v>
      </c>
      <c r="L1" s="15" t="str">
        <v>缴费档次与补贴明细（年，分档次）</v>
      </c>
      <c r="M1" s="15" t="str">
        <v>基础养老金（年）</v>
      </c>
      <c r="N1" s="15" t="str">
        <v>最低缴费金额（年）</v>
      </c>
    </row>
    <row r="2">
      <c r="A2" s="9" t="str">
        <v>北京市</v>
      </c>
      <c r="B2" s="9">
        <v>85032</v>
      </c>
      <c r="C2" s="9" t="str">
        <v>可在 2015 年度全省在岗职工月平均工资的 40%、60%、100% 三档自主选择</v>
      </c>
      <c r="D2" s="8">
        <v>0.2</v>
      </c>
      <c r="E2" s="17" t="s">
        <v>64</v>
      </c>
      <c r="F2" s="8">
        <v>0.4</v>
      </c>
      <c r="G2" s="8">
        <v>1</v>
      </c>
      <c r="H2" s="9" t="str">
        <v>固定档次：40%，60%，100%</v>
      </c>
      <c r="K2" s="6" t="str">
        <v>区间自选</v>
      </c>
      <c r="L2" s="6" t="str">
        <v>[1000,2000) 补 60, [2000,7420) 补 90</v>
      </c>
      <c r="M2" s="6">
        <v>510</v>
      </c>
      <c r="N2" s="6">
        <v>940</v>
      </c>
    </row>
    <row r="3">
      <c r="A3" s="9" t="str">
        <v>天津市</v>
      </c>
      <c r="B3" s="9">
        <v>76200</v>
      </c>
      <c r="C3" s="9" t="str">
        <v>可在 2015 年度全省在岗在岗职工月平均工资的 46% 至 100% 之间自主选择，基准值为 100%</v>
      </c>
      <c r="D3" s="8">
        <v>0.2</v>
      </c>
      <c r="E3" s="17" t="s">
        <v>64</v>
      </c>
      <c r="F3" s="8">
        <v>0.46</v>
      </c>
      <c r="G3" s="8">
        <v>1</v>
      </c>
      <c r="H3" s="9" t="str">
        <v>自愿选择合适档次</v>
      </c>
      <c r="K3" s="6" t="str">
        <v>固定档次自选</v>
      </c>
      <c r="L3" s="6" t="str">
        <v>600 补 60，900 补 70，1200 补 80，1500 补 90，1800 补 100，2100 补 110，2400 补 120，2700 补 130，3000 补 140，3300 补 150</v>
      </c>
      <c r="M3" s="6">
        <v>261</v>
      </c>
      <c r="N3" s="6">
        <v>540</v>
      </c>
    </row>
    <row r="4">
      <c r="A4" s="9" t="str">
        <v>河北省</v>
      </c>
      <c r="B4" s="9">
        <v>52409</v>
      </c>
      <c r="C4" s="9" t="str">
        <v>可在 2015 年度全省在岗职工月平均工资的 40%、60%、100%、200%、300% 五档自主选择</v>
      </c>
      <c r="D4" s="8">
        <v>0.2</v>
      </c>
      <c r="E4" s="17" t="s">
        <v>64</v>
      </c>
      <c r="F4" s="8">
        <v>0.4</v>
      </c>
      <c r="G4" s="8">
        <v>3</v>
      </c>
      <c r="H4" s="9" t="str">
        <v>固定档次：40%，60%，100%，200%，300%</v>
      </c>
      <c r="K4" s="6" t="str">
        <v>固定档次自选</v>
      </c>
      <c r="L4" s="6" t="str">
        <v>100 补 30，200 补 30，300 补 30，400 补 30，500 补 60，600 补 60，700 补 60，800 补 60，900 补 60，1000 补 60，1500 补 60，2000 补 60，3000 补 60</v>
      </c>
      <c r="M4" s="6">
        <v>80</v>
      </c>
      <c r="N4" s="6">
        <v>70</v>
      </c>
    </row>
    <row r="5">
      <c r="A5" s="9" t="str">
        <v>山西省</v>
      </c>
      <c r="B5" s="9">
        <v>52960</v>
      </c>
      <c r="C5" s="9" t="str">
        <v>可在 2015 年度全省在岗职工月平均工资的 40%、60%、100% 三档自主选择</v>
      </c>
      <c r="D5" s="8">
        <v>0.2</v>
      </c>
      <c r="E5" s="17" t="s">
        <v>64</v>
      </c>
      <c r="F5" s="8">
        <v>0.4</v>
      </c>
      <c r="G5" s="8">
        <v>1</v>
      </c>
      <c r="H5" s="9" t="str">
        <v>固定档次：40%，60%，100%</v>
      </c>
      <c r="K5" s="6" t="str">
        <v>固定档次自选</v>
      </c>
      <c r="L5" s="6" t="str">
        <v>100 补 30，200 补 35，300 补 40，400 补 50，500 补 60，600 补 60，700 补 70，800 补 70，900 补 70，1000 补 80，1500 补 80，2000 补 80</v>
      </c>
      <c r="M5" s="6">
        <v>80</v>
      </c>
      <c r="N5" s="6">
        <v>70</v>
      </c>
    </row>
    <row r="6">
      <c r="A6" s="9" t="str">
        <v>内蒙古自治区</v>
      </c>
      <c r="B6" s="9">
        <v>57870</v>
      </c>
      <c r="C6" s="9" t="str">
        <v>可在 2015 年度全省在岗职工月平均工资的 50%、60%、80%、100%、200%、300% 六档自主选择</v>
      </c>
      <c r="D6" s="8">
        <v>0.2</v>
      </c>
      <c r="E6" s="17" t="s">
        <v>64</v>
      </c>
      <c r="F6" s="8">
        <v>0.5</v>
      </c>
      <c r="G6" s="8">
        <v>3</v>
      </c>
      <c r="H6" s="9" t="str">
        <v>固定档次：50%，60%，80%，100%，200%，300%</v>
      </c>
      <c r="K6" s="6" t="str">
        <v>固定档次自选</v>
      </c>
      <c r="L6" s="6" t="str">
        <v>100 补 30，200 补 35，300 补 40，400 补 45，500 补 60，600 补 65，700 补 70，800 补 75，900 补 80，1000 补 85，1500 补 85，2000 补 85，3000 补 85</v>
      </c>
      <c r="M6" s="6">
        <v>90</v>
      </c>
      <c r="N6" s="6">
        <v>70</v>
      </c>
    </row>
    <row r="7">
      <c r="A7" s="9" t="str">
        <v>辽宁省</v>
      </c>
      <c r="B7" s="9">
        <v>53458</v>
      </c>
      <c r="C7" s="9" t="str">
        <v>可在 2015 年度全省在岗职工月平均工资的 60%、70%、80%、90%、100%、200%、300% 七档自主选择</v>
      </c>
      <c r="D7" s="8">
        <v>0.2</v>
      </c>
      <c r="E7" s="17" t="s">
        <v>64</v>
      </c>
      <c r="F7" s="8">
        <v>0.6</v>
      </c>
      <c r="G7" s="8">
        <v>3</v>
      </c>
      <c r="H7" s="9" t="str">
        <v>固定档次：60%，70%，80%，90%，100%，200%，300%</v>
      </c>
      <c r="K7" s="6" t="str">
        <v>固定档次自选</v>
      </c>
      <c r="L7" s="6" t="str">
        <v>100 补 30，200 补 40，300 补 50，400 补 60，500 补 70，600 补 80，700 补 90，800 补 100，900 补 110，1000 补 120，1500 补 150，2000 补 170</v>
      </c>
      <c r="M7" s="6">
        <v>85</v>
      </c>
      <c r="N7" s="6">
        <v>70</v>
      </c>
    </row>
    <row r="8">
      <c r="A8" s="9" t="str">
        <v>吉林省</v>
      </c>
      <c r="B8" s="9">
        <v>51558</v>
      </c>
      <c r="C8" s="9" t="str">
        <v>可在 2015 年度全省在岗职工月平均工资的 60%、80%、100%、110%、120% 五档自主选择</v>
      </c>
      <c r="D8" s="8">
        <v>0.2</v>
      </c>
      <c r="E8" s="17" t="s">
        <v>64</v>
      </c>
      <c r="F8" s="8">
        <v>0.6</v>
      </c>
      <c r="G8" s="8">
        <v>1.2</v>
      </c>
      <c r="H8" s="9" t="str">
        <v>固定档次：60%，80%，100%，110%，120%</v>
      </c>
      <c r="K8" s="6" t="str">
        <v>固定档次自选</v>
      </c>
      <c r="L8" s="6" t="str">
        <v>100 补 30，200 补 40，300 补 50，400 补 60，500 补 70，600 补 80，700 补 90，800 补 100，900 补 110，1000 补 120，1500 补 145，2000 补 170</v>
      </c>
      <c r="M8" s="6">
        <v>80</v>
      </c>
      <c r="N8" s="6">
        <v>70</v>
      </c>
    </row>
    <row r="9">
      <c r="A9" s="9" t="str">
        <v>黑龙江省</v>
      </c>
      <c r="B9" s="9">
        <v>47040</v>
      </c>
      <c r="C9" s="9" t="str">
        <v>可在 2015 年度全省在岗职工月平均工资的 60%、70%、80%、90%、100% 五档自主选择</v>
      </c>
      <c r="D9" s="8">
        <v>0.2</v>
      </c>
      <c r="E9" s="17" t="s">
        <v>64</v>
      </c>
      <c r="F9" s="8">
        <v>0.6</v>
      </c>
      <c r="G9" s="8">
        <v>1</v>
      </c>
      <c r="H9" s="9" t="str">
        <v>固定档次：60%，70%，80%，90%，100%</v>
      </c>
      <c r="K9" s="6" t="str">
        <v>固定档次自选</v>
      </c>
      <c r="L9" s="6" t="str">
        <v>100 补 30，200 补 40，300 补 50，400 补 60，500 补 70，600 补 70，700 补 70，800 补 70，900 补 70，1000 补 70，1500 补 70，2000 补 70</v>
      </c>
      <c r="M9" s="6">
        <v>70</v>
      </c>
      <c r="N9" s="6">
        <v>70</v>
      </c>
    </row>
    <row r="10">
      <c r="A10" s="9" t="str">
        <v>上海市</v>
      </c>
      <c r="B10" s="9">
        <v>71268</v>
      </c>
      <c r="C10" s="9" t="str">
        <v>可在 2015 年度全省在岗职工月平均工资的 60% 至 300% 之间自主选择</v>
      </c>
      <c r="D10" s="8">
        <v>0.28</v>
      </c>
      <c r="E10" s="17" t="s">
        <v>64</v>
      </c>
      <c r="F10" s="8">
        <v>0.6</v>
      </c>
      <c r="G10" s="8">
        <v>3</v>
      </c>
      <c r="H10" s="9" t="str">
        <v>自愿选择合适档次</v>
      </c>
      <c r="K10" s="6" t="str">
        <v>固定档次自选</v>
      </c>
      <c r="L10" s="6" t="str">
        <v>500 补 200，700 补 250，900 补 300，1100 补 350，1300 补 400，1500 补 425，1700 补 450，1900 补 475，2100 补 500，2300 补 525，2800 补 550，3300 补 575</v>
      </c>
      <c r="M10" s="6">
        <v>750</v>
      </c>
      <c r="N10" s="6">
        <v>300</v>
      </c>
    </row>
    <row r="11">
      <c r="A11" s="9" t="str">
        <v>江苏省</v>
      </c>
      <c r="B11" s="9">
        <v>67200</v>
      </c>
      <c r="C11" s="9" t="str">
        <v>可在 2015 年度全省在岗职工月平均工资的 60% 至 300% 之间自主选择</v>
      </c>
      <c r="D11" s="8">
        <v>0.2</v>
      </c>
      <c r="E11" s="17" t="s">
        <v>64</v>
      </c>
      <c r="F11" s="8">
        <v>0.6</v>
      </c>
      <c r="G11" s="8">
        <v>3</v>
      </c>
      <c r="H11" s="9" t="str">
        <v>自愿选择合适档次</v>
      </c>
      <c r="K11" s="6" t="str">
        <v>固定档次自选</v>
      </c>
      <c r="L11" s="6" t="str">
        <v>100 补 30，200 补 30，300 补 40，400 补 40，500 补 60，600 补 60，700 补 60，800 补 60，900 补 60，1000 补 80，1500 补 100，2000 补 120，2500 补 140，3000 补 160</v>
      </c>
      <c r="M11" s="6">
        <v>115</v>
      </c>
      <c r="N11" s="6">
        <v>70</v>
      </c>
    </row>
    <row r="12">
      <c r="A12" s="9" t="str">
        <v>浙江省</v>
      </c>
      <c r="B12" s="9">
        <v>51719</v>
      </c>
      <c r="C12" s="9" t="str">
        <v>可在 2015 年度全省在岗职工月平均工资的 80% 至 300% 之间自主选择</v>
      </c>
      <c r="D12" s="8">
        <v>0.18</v>
      </c>
      <c r="E12" s="17" t="s">
        <v>64</v>
      </c>
      <c r="F12" s="8">
        <v>0.8</v>
      </c>
      <c r="G12" s="8">
        <v>3</v>
      </c>
      <c r="H12" s="9" t="str">
        <v>自愿选择合适档次</v>
      </c>
      <c r="K12" s="6" t="str">
        <v>固定档次自选</v>
      </c>
      <c r="L12" s="6" t="str">
        <v>100 补 30，500 补 80，700 补 90，900 补 100，1200 补 110，1500 补 120，2000 补 130</v>
      </c>
      <c r="M12" s="6">
        <v>120</v>
      </c>
      <c r="N12" s="6">
        <v>70</v>
      </c>
    </row>
    <row r="13">
      <c r="A13" s="9" t="str">
        <v>安徽省</v>
      </c>
      <c r="B13" s="9">
        <v>56974</v>
      </c>
      <c r="C13" s="9" t="str">
        <v>可在 2015 年度全省在岗职工月平均工资的 60%、70%、80%、90%、100% 五档自主选择</v>
      </c>
      <c r="D13" s="8">
        <v>0.2</v>
      </c>
      <c r="E13" s="17" t="s">
        <v>64</v>
      </c>
      <c r="F13" s="8">
        <v>0.6</v>
      </c>
      <c r="G13" s="8">
        <v>1</v>
      </c>
      <c r="H13" s="9" t="str">
        <v>固定档次：60%，70%，80%，90%，100%</v>
      </c>
      <c r="K13" s="6" t="str">
        <v>固定档次自选</v>
      </c>
      <c r="L13" s="6" t="str">
        <v>100 补 35，200 补 40，300 补 45，400 补 50，500 补 60，600 补 60，700 补 60，800 补 60，900 补 60，1000 补 60，1500 补 60，2000 补 60，3000 补 60</v>
      </c>
      <c r="M13" s="6">
        <v>70</v>
      </c>
      <c r="N13" s="6">
        <v>65</v>
      </c>
    </row>
    <row r="14">
      <c r="A14" s="9" t="str">
        <v>福建省</v>
      </c>
      <c r="B14" s="9">
        <v>25200</v>
      </c>
      <c r="C14" s="9" t="str">
        <v>可在 2015 年度全省在岗职工月平均工资的 60% 至 300% 之间自主选择</v>
      </c>
      <c r="D14" s="8">
        <v>0.2</v>
      </c>
      <c r="E14" s="17" t="s">
        <v>64</v>
      </c>
      <c r="F14" s="8">
        <v>0.6</v>
      </c>
      <c r="G14" s="8">
        <v>3</v>
      </c>
      <c r="H14" s="9" t="str">
        <v>自愿选择合适档次</v>
      </c>
      <c r="K14" s="6" t="str">
        <v>固定档次自选</v>
      </c>
      <c r="L14" s="6" t="str">
        <v>100 补 30，200 补 40，300 补 50，400 补 60，500 补 70，600 补 80，700 补 90，800 补 100，900 补 100，1000 补 100，1100 补 100，1200 补 100，1300 补 100，1400 补 100，1500 补 100，1600 补 100，1700 补 100，1800 补 100，1900 补 100，2000 补 100</v>
      </c>
      <c r="M14" s="6">
        <v>100</v>
      </c>
      <c r="N14" s="6">
        <v>70</v>
      </c>
    </row>
    <row r="15">
      <c r="A15" s="9" t="str">
        <v>江西省</v>
      </c>
      <c r="B15" s="9">
        <v>50928</v>
      </c>
      <c r="C15" s="9" t="str">
        <v>可在 2015 年度全省在岗职工月平均工资的 60%、80%、100%、200%、300% 五档自主选择</v>
      </c>
      <c r="D15" s="8">
        <v>0.2</v>
      </c>
      <c r="E15" s="17" t="s">
        <v>64</v>
      </c>
      <c r="F15" s="8">
        <v>0.6</v>
      </c>
      <c r="G15" s="8">
        <v>3</v>
      </c>
      <c r="H15" s="9" t="str">
        <v>固定档次：60%，80%，100%，200%，300%</v>
      </c>
      <c r="K15" s="6" t="str">
        <v>固定档次自选</v>
      </c>
      <c r="L15" s="6" t="str">
        <v>300 补 40，400 补 45，500 补 60，600 补 65，700 补 70，800 补 75，900 补 80，1000 补 85，1500 补 90，2000 补 95</v>
      </c>
      <c r="M15" s="6">
        <v>80</v>
      </c>
      <c r="N15" s="6">
        <v>260</v>
      </c>
    </row>
    <row r="16">
      <c r="A16" s="9" t="str">
        <v>山东省</v>
      </c>
      <c r="B16" s="9">
        <v>58197</v>
      </c>
      <c r="C16" s="9" t="str">
        <v>可在 2015 年度全省在岗职工月平均工资的 60%、80%、100%三档自主选择</v>
      </c>
      <c r="D16" s="8">
        <v>0.2</v>
      </c>
      <c r="E16" s="17" t="s">
        <v>64</v>
      </c>
      <c r="F16" s="8">
        <v>0.6</v>
      </c>
      <c r="G16" s="8">
        <v>1</v>
      </c>
      <c r="H16" s="9" t="str">
        <v>固定档次：60%，80%，100%</v>
      </c>
      <c r="K16" s="6" t="str">
        <v>固定档次自选</v>
      </c>
      <c r="L16" s="6" t="str">
        <v>100 补 30，300 补 30，500 补 60，600 补 60，800 补 60，1000 补 60，1500 补 100，2000 补 100，2500 补 100，3000 补 100，4000 补 100，5000 补 100</v>
      </c>
      <c r="M16" s="6">
        <v>100</v>
      </c>
      <c r="N16" s="6">
        <v>70</v>
      </c>
    </row>
    <row r="17">
      <c r="A17" s="9" t="str">
        <v>河南省</v>
      </c>
      <c r="B17" s="9">
        <v>45920</v>
      </c>
      <c r="C17" s="9" t="str">
        <v>可在 2015 年度全省在岗职工月平均工资的 60%、100%、200%、300% 四档自主选择</v>
      </c>
      <c r="D17" s="8">
        <v>0.2</v>
      </c>
      <c r="E17" s="17" t="s">
        <v>64</v>
      </c>
      <c r="F17" s="8">
        <v>0.6</v>
      </c>
      <c r="G17" s="8">
        <v>3</v>
      </c>
      <c r="H17" s="9" t="str">
        <v>固定档次：60%，100%，200%，300%</v>
      </c>
      <c r="K17" s="6" t="str">
        <v>固定档次自选</v>
      </c>
      <c r="L17" s="6" t="str">
        <v>100 补 30，200 补 30，300 补 30，400 补 30，500 补 60，600 补 60，700 补 60，800 补 60，900 补 60，1000 补 60，1500 补 60，2000 补 60，2500 补 60，3000 补 60，4000 补 60，5000 补 60</v>
      </c>
      <c r="M17" s="6">
        <v>78</v>
      </c>
      <c r="N17" s="6">
        <v>70</v>
      </c>
    </row>
    <row r="18">
      <c r="A18" s="9" t="str">
        <v>湖北省</v>
      </c>
      <c r="B18" s="9">
        <v>55237</v>
      </c>
      <c r="C18" s="9" t="str">
        <v>可在 2015 年度全省在岗职工月平均工资的50%、60%、80%、100%、200%、300%六档档自主选择</v>
      </c>
      <c r="D18" s="8">
        <v>0.2</v>
      </c>
      <c r="E18" s="17" t="s">
        <v>64</v>
      </c>
      <c r="F18" s="8">
        <v>0.5</v>
      </c>
      <c r="G18" s="8">
        <v>3</v>
      </c>
      <c r="H18" s="9" t="str">
        <v>固定档次：50%，60%，80%，100%，200%，300%</v>
      </c>
      <c r="K18" s="6" t="str">
        <v>固定档次自选</v>
      </c>
      <c r="L18" s="6" t="str">
        <v>100 补 30，200 补 45，300 补 45，400 补 45，500 补 60，600 补 60，700 补 60，800 补 60，900 补 60，1000 补 60，1500 补 60，2000 补 60</v>
      </c>
      <c r="M18" s="6">
        <v>70</v>
      </c>
      <c r="N18" s="6">
        <v>70</v>
      </c>
    </row>
    <row r="19">
      <c r="A19" s="9" t="str">
        <v>湖南省</v>
      </c>
      <c r="B19" s="9">
        <v>53889</v>
      </c>
      <c r="C19" s="9" t="str">
        <v>可在 2015 年度全省在岗职工月平均工资的 60%、100% 两档自主选择</v>
      </c>
      <c r="D19" s="8">
        <v>0.2</v>
      </c>
      <c r="E19" s="17" t="s">
        <v>64</v>
      </c>
      <c r="F19" s="8">
        <v>0.6</v>
      </c>
      <c r="G19" s="8">
        <v>1</v>
      </c>
      <c r="H19" s="9" t="str">
        <v>固定档次：60%，100%</v>
      </c>
      <c r="K19" s="6" t="str">
        <v>固定档次自选</v>
      </c>
      <c r="L19" s="6" t="str">
        <v>100 补 30，200 补 30，300 补 40，400 补 40，500 补 60，600 补 60，700 补 60，800 补 60，900 补 60，1000 补 60，1500 补 60，2000 补 60，2500 补 60，3000 补 60</v>
      </c>
      <c r="M19" s="6">
        <v>80</v>
      </c>
      <c r="N19" s="6">
        <v>70</v>
      </c>
    </row>
    <row r="20">
      <c r="A20" s="9" t="str">
        <v>广东省</v>
      </c>
      <c r="B20" s="9">
        <v>66300</v>
      </c>
      <c r="C20" s="9" t="str">
        <v>可在 2015 年度全省在岗职工月平均工资的 60% 至 300% 之间自主选择</v>
      </c>
      <c r="D20" s="8">
        <v>0.2</v>
      </c>
      <c r="E20" s="17" t="s">
        <v>64</v>
      </c>
      <c r="F20" s="8">
        <v>0.6</v>
      </c>
      <c r="G20" s="8">
        <v>3</v>
      </c>
      <c r="H20" s="9" t="str">
        <v>自愿选择合适档次</v>
      </c>
      <c r="K20" s="6" t="str">
        <v>固定档次自选</v>
      </c>
      <c r="L20" s="6" t="str">
        <v>120 补 30，240 补 30，360 补 30，480 补 60，600 补 60，960 补 60，1200 补 60，1800 补 60，2400 补 60，3600 补 60</v>
      </c>
      <c r="M20" s="6">
        <v>110</v>
      </c>
      <c r="N20" s="6">
        <v>90</v>
      </c>
    </row>
    <row r="21">
      <c r="A21" s="9" t="str">
        <v>广西壮族自治区</v>
      </c>
      <c r="B21" s="9">
        <v>54983</v>
      </c>
      <c r="C21" s="9" t="str">
        <v>可在 2015 年度全省在岗职工月平均工资的 60%、70%、80%、90%、100% 五档自主选择</v>
      </c>
      <c r="D21" s="8">
        <v>0.2</v>
      </c>
      <c r="E21" s="17" t="s">
        <v>64</v>
      </c>
      <c r="F21" s="8">
        <v>0.6</v>
      </c>
      <c r="G21" s="8">
        <v>1</v>
      </c>
      <c r="H21" s="9" t="str">
        <v>固定档次：60%，70%，80%，90%，100%</v>
      </c>
      <c r="K21" s="6" t="str">
        <v>固定档次自选</v>
      </c>
      <c r="L21" s="6" t="str">
        <v>100 补 30，200 补 40，300 补 50，400 补 55，500 补 60，600 补 65，700 补 70，800 补 75，900 补 80，1000 补 80，1500 补 80，2000 补 80</v>
      </c>
      <c r="M21" s="6">
        <v>90</v>
      </c>
      <c r="N21" s="6">
        <v>70</v>
      </c>
    </row>
    <row r="22">
      <c r="A22" s="9" t="str">
        <v>海南省</v>
      </c>
      <c r="B22" s="9">
        <v>58406</v>
      </c>
      <c r="C22" s="9" t="str">
        <v>可在 2015 年度全省在岗职工月平均工资的 60% 至 300% 之间自主选择</v>
      </c>
      <c r="D22" s="8">
        <v>0.2</v>
      </c>
      <c r="E22" s="17" t="s">
        <v>64</v>
      </c>
      <c r="F22" s="8">
        <v>0.6</v>
      </c>
      <c r="G22" s="8">
        <v>3</v>
      </c>
      <c r="H22" s="9" t="str">
        <v>自愿选择合适档次</v>
      </c>
      <c r="K22" s="6" t="str">
        <v>固定档次自选</v>
      </c>
      <c r="L22" s="6" t="str">
        <v>100 补 30，200 补 40，300 补 50，400 补 60，500 补 70，600 补 80，700 补 90，800 补 100，900 补 110，1000 补 120，1500 补 130，2000 补 140，3000 补 150</v>
      </c>
      <c r="M22" s="6">
        <v>145</v>
      </c>
      <c r="N22" s="6">
        <v>70</v>
      </c>
    </row>
    <row r="23">
      <c r="A23" s="9" t="str">
        <v>重庆市</v>
      </c>
      <c r="B23" s="9">
        <v>62100</v>
      </c>
      <c r="C23" s="9" t="str">
        <v>可在 2015 年度全省在岗职工月平均工资的 60% 至 100% 之间自主选择</v>
      </c>
      <c r="D23" s="8">
        <v>0.2</v>
      </c>
      <c r="E23" s="17" t="s">
        <v>64</v>
      </c>
      <c r="F23" s="8">
        <v>0.6</v>
      </c>
      <c r="G23" s="8">
        <v>1</v>
      </c>
      <c r="H23" s="9" t="str">
        <v>自愿选择合适档次</v>
      </c>
      <c r="K23" s="6" t="str">
        <v>固定档次自选</v>
      </c>
      <c r="L23" s="6" t="str">
        <v>100 补 30，200 补 40，300 补 50，400 补 60，500 补 70，600 补 80，700 补 90，800 补 100，900 补 110，1000 补 120，1500 补 130，2000 补 140</v>
      </c>
      <c r="M23" s="6">
        <v>95</v>
      </c>
      <c r="N23" s="6">
        <v>70</v>
      </c>
    </row>
    <row r="24">
      <c r="A24" s="9" t="str">
        <v>四川省</v>
      </c>
      <c r="B24" s="9">
        <v>60516</v>
      </c>
      <c r="C24" s="9" t="str">
        <v>可在 2015 年度全省在岗职工月平均工资的 40%、50%、60%、70%、80%、90%、100% 七档自主选择</v>
      </c>
      <c r="D24" s="8">
        <v>0.2</v>
      </c>
      <c r="E24" s="17" t="s">
        <v>64</v>
      </c>
      <c r="F24" s="8">
        <v>0.4</v>
      </c>
      <c r="G24" s="8">
        <v>1</v>
      </c>
      <c r="H24" s="9" t="str">
        <v>固定档次：40%，50%，60%，70%，80%，90%，100%</v>
      </c>
      <c r="K24" s="6" t="str">
        <v>固定档次自选</v>
      </c>
      <c r="L24" s="6" t="str">
        <v>100 补 40，200 补 40，300 补 45，400 补 50，500 补 60，600 补 60，700 补 65，800 补 70，900 补 75，1000 补 80，1500 补 100，2000 补 120，3000 补 160</v>
      </c>
      <c r="M24" s="6">
        <v>75</v>
      </c>
      <c r="N24" s="6">
        <v>60</v>
      </c>
    </row>
    <row r="25">
      <c r="A25" s="9" t="str">
        <v>贵州省</v>
      </c>
      <c r="B25" s="9">
        <v>54637</v>
      </c>
      <c r="C25" s="9" t="str">
        <v>可在 2015 年度全省在岗职工月平均工资的 40% 至 300% 之间自主选择</v>
      </c>
      <c r="D25" s="8">
        <v>0.2</v>
      </c>
      <c r="E25" s="17" t="s">
        <v>64</v>
      </c>
      <c r="F25" s="8">
        <v>0.4</v>
      </c>
      <c r="G25" s="8">
        <v>3</v>
      </c>
      <c r="H25" s="9" t="str">
        <v>自愿选择合适档次</v>
      </c>
      <c r="K25" s="6" t="str">
        <v>固定档次自选</v>
      </c>
      <c r="L25" s="6" t="str">
        <v>100 补 30，200 补 30，300 补 30，400 补 30，500 补 60，600 补 60，700 补 60，800 补 60，900 补 60，1000 补 90，1200 补 90，1500 补 90，2000 补 90</v>
      </c>
      <c r="M25" s="6">
        <v>70</v>
      </c>
      <c r="N25" s="6">
        <v>70</v>
      </c>
    </row>
    <row r="26">
      <c r="A26" s="9" t="str">
        <v>云南省</v>
      </c>
      <c r="B26" s="9">
        <v>55025</v>
      </c>
      <c r="C26" s="9" t="str">
        <v>可在 2015 年度全省在岗职工月平均工资的 40%、60%、100% 三档自主选择</v>
      </c>
      <c r="D26" s="8">
        <v>0.2</v>
      </c>
      <c r="E26" s="17" t="s">
        <v>64</v>
      </c>
      <c r="F26" s="8">
        <v>0.4</v>
      </c>
      <c r="G26" s="8">
        <v>1</v>
      </c>
      <c r="H26" s="9" t="str">
        <v>固定档次：40%，60%，100%</v>
      </c>
      <c r="K26" s="6" t="str">
        <v>固定档次自选</v>
      </c>
      <c r="L26" s="6" t="str">
        <v>100 补 30，200 补 40，300 补 50，400 补 60，500 补 70，600 补 80，700 补 90，800 补 100，900 补 100，1000 补 100，1500 补 100，2000 补 100</v>
      </c>
      <c r="M26" s="6">
        <v>75</v>
      </c>
      <c r="N26" s="6">
        <v>70</v>
      </c>
    </row>
    <row r="27">
      <c r="A27" s="9" t="str">
        <v>西藏自治区</v>
      </c>
      <c r="B27" s="9">
        <v>71148</v>
      </c>
      <c r="C27" s="9" t="str">
        <v>可在 2015 年度全省在岗职工月平均工资的 100% 一档自主选择</v>
      </c>
      <c r="D27" s="8">
        <v>0.2</v>
      </c>
      <c r="E27" s="17" t="s">
        <v>64</v>
      </c>
      <c r="F27" s="8">
        <v>1</v>
      </c>
      <c r="G27" s="8">
        <v>1</v>
      </c>
      <c r="H27" s="9" t="str">
        <v>固定档次：100%</v>
      </c>
      <c r="K27" s="6" t="str">
        <v>固定档次自选</v>
      </c>
      <c r="L27" s="6" t="str">
        <v>100 补 40，200 补 45，300 补 50，400 补 55，500 补 60，600 补 65，700 补 70，800 补 75，900 补 80，1000 补 85，1500 补 90，2000 补 95</v>
      </c>
      <c r="M27" s="6">
        <v>150</v>
      </c>
      <c r="N27" s="6">
        <v>60</v>
      </c>
    </row>
    <row r="28">
      <c r="A28" s="9" t="str">
        <v>陕西省</v>
      </c>
      <c r="B28" s="9">
        <v>56896</v>
      </c>
      <c r="C28" s="9" t="str">
        <v>可在 2015 年度全省在岗职工月平均工资的 40%、50%、60%、70%、80%、90%、100% 七档自主选择</v>
      </c>
      <c r="D28" s="8">
        <v>0.2</v>
      </c>
      <c r="E28" s="17" t="s">
        <v>64</v>
      </c>
      <c r="F28" s="8">
        <v>0.4</v>
      </c>
      <c r="G28" s="8">
        <v>1</v>
      </c>
      <c r="H28" s="9" t="str">
        <v>固定档次：40%，50%，60%，70%，80%，90%，100%</v>
      </c>
      <c r="K28" s="6" t="str">
        <v>固定档次自选</v>
      </c>
      <c r="L28" s="6" t="str">
        <v>100 补 30，200 补 30，300 补 40，400 补 45，500 补 60，600 补 65，700 补 70，800 补 75，900 补 80，1000 补 100，1500 补 150，2000 补 200</v>
      </c>
      <c r="M28" s="6">
        <v>75</v>
      </c>
      <c r="N28" s="6">
        <v>70</v>
      </c>
    </row>
    <row r="29">
      <c r="A29" s="9" t="str">
        <v>甘肃省</v>
      </c>
      <c r="B29" s="9">
        <v>54454</v>
      </c>
      <c r="C29" s="9" t="str">
        <v>可在 2015 年度全省在岗职工月平均工资的 60% 至 300% 之间自主选择</v>
      </c>
      <c r="D29" s="8">
        <v>0.2</v>
      </c>
      <c r="E29" s="17" t="s">
        <v>64</v>
      </c>
      <c r="F29" s="8">
        <v>0.6</v>
      </c>
      <c r="G29" s="8">
        <v>3</v>
      </c>
      <c r="H29" s="9" t="str">
        <v>自愿选择合适档次</v>
      </c>
      <c r="K29" s="6" t="str">
        <v>固定档次自选</v>
      </c>
      <c r="L29" s="6" t="str">
        <v>100 补 30，200 补 30，300 补 30，400 补 30，500 补 60，600 补 60，700 补 60，800 补 60，900 补 60，1000 补 60，1500 补 60，2000 补 60</v>
      </c>
      <c r="M29" s="6">
        <v>85</v>
      </c>
      <c r="N29" s="6">
        <v>70</v>
      </c>
    </row>
    <row r="30">
      <c r="A30" s="9" t="str">
        <v>青海省</v>
      </c>
      <c r="B30" s="9">
        <v>61868</v>
      </c>
      <c r="C30" s="9" t="str">
        <v>可在 2015 年度全省在岗职工月平均工资的 60%、70%、80%、90%、100% 五档自主选择</v>
      </c>
      <c r="D30" s="8">
        <v>0.2</v>
      </c>
      <c r="E30" s="17" t="s">
        <v>64</v>
      </c>
      <c r="F30" s="8">
        <v>0.6</v>
      </c>
      <c r="G30" s="8">
        <v>1</v>
      </c>
      <c r="H30" s="9" t="str">
        <v>固定档次：60%，70%，80%，90%，100%</v>
      </c>
      <c r="K30" s="6" t="str">
        <v>固定档次自选</v>
      </c>
      <c r="L30" s="6" t="str">
        <v>100 补 30，200 补 40，300 补 50，400 补 60，500 补 70，600 补 85，700 补 100，800 补 115，900 补 130，1000 补 145，1500 补 165，2000 补 185</v>
      </c>
      <c r="M30" s="6">
        <v>140</v>
      </c>
      <c r="N30" s="6">
        <v>70</v>
      </c>
    </row>
    <row r="31">
      <c r="A31" s="9" t="str">
        <v>宁夏回族自治区</v>
      </c>
      <c r="B31" s="9">
        <v>62482</v>
      </c>
      <c r="C31" s="9" t="str">
        <v>可在 2015 年度全省在岗职工月平均工资的 40%、50%、60%、70%、80%、90%、100% 七档自主选择</v>
      </c>
      <c r="D31" s="8">
        <v>0.2</v>
      </c>
      <c r="E31" s="17" t="s">
        <v>64</v>
      </c>
      <c r="F31" s="8">
        <v>0.4</v>
      </c>
      <c r="G31" s="8">
        <v>1</v>
      </c>
      <c r="H31" s="9" t="str">
        <v>固定档次：40%，50%，60%，70%，80%，90%，100%</v>
      </c>
      <c r="K31" s="6" t="str">
        <v>固定档次自选</v>
      </c>
      <c r="L31" s="6" t="str">
        <v>100 补 30，200 补 40，300 补 50，400 补 60，500 补 70，600 补 80，700 补 90，800 补 100，900 补 110，1000 补 120，1500 补 160，2000 补 200</v>
      </c>
      <c r="M31" s="6">
        <v>115</v>
      </c>
      <c r="N31" s="6">
        <v>70</v>
      </c>
    </row>
    <row r="32">
      <c r="A32" s="9" t="str">
        <v>新疆维吾尔自治区</v>
      </c>
      <c r="B32" s="9">
        <v>53004</v>
      </c>
      <c r="C32" s="9" t="str">
        <v>可在 2015 年度全省在岗职工月平均工资的 50%、60%、100% 三档自主选择</v>
      </c>
      <c r="D32" s="8">
        <v>0.2</v>
      </c>
      <c r="E32" s="17" t="s">
        <v>64</v>
      </c>
      <c r="F32" s="8">
        <v>0.5</v>
      </c>
      <c r="G32" s="8">
        <v>1</v>
      </c>
      <c r="H32" s="9" t="str">
        <v>固定档次：50%，60%，100%</v>
      </c>
      <c r="K32" s="6" t="str">
        <v>固定档次自选</v>
      </c>
      <c r="L32" s="6" t="str">
        <v>100 补 50，200 补 55，300 补 60，400 补 65，500 补 70，600 补 75，700 补 80，800 补 85，900 补 90，1000 补 95，1500 补 100，2000 补 105，2500 补 110，3000 补 115</v>
      </c>
      <c r="M32" s="6">
        <v>115</v>
      </c>
      <c r="N32" s="6">
        <v>50</v>
      </c>
    </row>
  </sheetData>
  <hyperlinks>
    <hyperlink ref="E13" display="链接" r:id="rId1"/>
    <hyperlink ref="E23" display="链接" r:id="rId2"/>
    <hyperlink ref="E7" display="链接" r:id="rId3"/>
    <hyperlink ref="E20" display="链接" r:id="rId4"/>
    <hyperlink ref="E4" display="链接" r:id="rId5"/>
    <hyperlink ref="E18" display="链接" r:id="rId6"/>
    <hyperlink ref="E17" display="链接" r:id="rId7"/>
    <hyperlink ref="E26" display="链接" r:id="rId8"/>
    <hyperlink ref="E32" display="链接" r:id="rId9"/>
    <hyperlink ref="E24" display="链接" r:id="rId10"/>
    <hyperlink ref="E15" display="链接" r:id="rId11"/>
    <hyperlink ref="E2" display="链接" r:id="rId12"/>
    <hyperlink ref="E21" display="链接" r:id="rId13"/>
    <hyperlink ref="E6" display="链接" r:id="rId14"/>
    <hyperlink ref="E12" display="链接" r:id="rId15"/>
    <hyperlink ref="E10" display="链接" r:id="rId16"/>
    <hyperlink ref="E30" display="链接" r:id="rId17"/>
    <hyperlink ref="E9" display="链接" r:id="rId18"/>
    <hyperlink ref="E29" display="链接" r:id="rId19"/>
    <hyperlink ref="E14" display="链接" r:id="rId20"/>
    <hyperlink ref="E27" display="链接" r:id="rId21"/>
    <hyperlink ref="E16" display="链接" r:id="rId22"/>
    <hyperlink ref="E3" display="链接" r:id="rId23"/>
    <hyperlink ref="E19" display="链接" r:id="rId24"/>
    <hyperlink ref="E8" display="链接" r:id="rId25"/>
    <hyperlink ref="E28" display="链接" r:id="rId26"/>
    <hyperlink ref="E5" display="链接" r:id="rId27"/>
    <hyperlink ref="E31" display="链接" r:id="rId28"/>
    <hyperlink ref="E25" display="链接" r:id="rId29"/>
    <hyperlink ref="E11" display="链接" r:id="rId30"/>
    <hyperlink ref="E22" display="链接" r:id="rId3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