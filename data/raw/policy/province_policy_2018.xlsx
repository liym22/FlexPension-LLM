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s\"/>
    </mc:Choice>
  </mc:AlternateContent>
  <xr:revisionPtr revIDLastSave="0" documentId="13_ncr:1_{25F5C8BC-A600-4370-BFF1-03CCB40FA5DB}" xr6:coauthVersionLast="47" xr6:coauthVersionMax="47" xr10:uidLastSave="{00000000-0000-0000-0000-000000000000}"/>
  <bookViews>
    <workbookView xWindow="-98" yWindow="-98" windowWidth="21795" windowHeight="13695" activeTab="1" xr2:uid="{87A5F8CD-29DC-45B0-932A-533C7694F46A}"/>
  </bookViews>
  <sheets>
    <sheet name="规则" sheetId="3" r:id="rId1"/>
    <sheet name="总表" sheetId="4" r:id="rId2"/>
    <sheet name="居民养老保险" sheetId="6" r:id="rId3"/>
    <sheet name="基础养老金" sheetId="8" r:id="rId4"/>
    <sheet name="社平工资" sheetId="9" r:id="rId5"/>
    <sheet name="职工保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2" i="8"/>
  <c r="J11" i="4"/>
  <c r="J21" i="4"/>
  <c r="I24" i="4"/>
  <c r="I27" i="4"/>
  <c r="J27" i="4"/>
  <c r="I28" i="4"/>
  <c r="J28" i="4"/>
  <c r="I29" i="4"/>
  <c r="J29" i="4"/>
  <c r="J31" i="4"/>
  <c r="E3" i="4"/>
  <c r="I3" i="4" s="1"/>
  <c r="F3" i="4"/>
  <c r="J3" i="4" s="1"/>
  <c r="E4" i="4"/>
  <c r="I4" i="4" s="1"/>
  <c r="F4" i="4"/>
  <c r="J4" i="4" s="1"/>
  <c r="E5" i="4"/>
  <c r="I5" i="4" s="1"/>
  <c r="F5" i="4"/>
  <c r="J5" i="4" s="1"/>
  <c r="E6" i="4"/>
  <c r="I6" i="4" s="1"/>
  <c r="F6" i="4"/>
  <c r="J6" i="4" s="1"/>
  <c r="E7" i="4"/>
  <c r="I7" i="4" s="1"/>
  <c r="F7" i="4"/>
  <c r="J7" i="4" s="1"/>
  <c r="E8" i="4"/>
  <c r="I8" i="4" s="1"/>
  <c r="F8" i="4"/>
  <c r="J8" i="4" s="1"/>
  <c r="E9" i="4"/>
  <c r="I9" i="4" s="1"/>
  <c r="F9" i="4"/>
  <c r="J9" i="4" s="1"/>
  <c r="E10" i="4"/>
  <c r="I10" i="4" s="1"/>
  <c r="F10" i="4"/>
  <c r="J10" i="4" s="1"/>
  <c r="E11" i="4"/>
  <c r="I11" i="4" s="1"/>
  <c r="E12" i="4"/>
  <c r="I12" i="4" s="1"/>
  <c r="F12" i="4"/>
  <c r="J12" i="4" s="1"/>
  <c r="E13" i="4"/>
  <c r="I13" i="4" s="1"/>
  <c r="F13" i="4"/>
  <c r="J13" i="4" s="1"/>
  <c r="E14" i="4"/>
  <c r="I14" i="4" s="1"/>
  <c r="F14" i="4"/>
  <c r="J14" i="4" s="1"/>
  <c r="E15" i="4"/>
  <c r="I15" i="4" s="1"/>
  <c r="F15" i="4"/>
  <c r="J15" i="4" s="1"/>
  <c r="E16" i="4"/>
  <c r="I16" i="4" s="1"/>
  <c r="F16" i="4"/>
  <c r="J16" i="4" s="1"/>
  <c r="E17" i="4"/>
  <c r="I17" i="4" s="1"/>
  <c r="F17" i="4"/>
  <c r="J17" i="4" s="1"/>
  <c r="E18" i="4"/>
  <c r="I18" i="4" s="1"/>
  <c r="F18" i="4"/>
  <c r="J18" i="4" s="1"/>
  <c r="E19" i="4"/>
  <c r="I19" i="4" s="1"/>
  <c r="F19" i="4"/>
  <c r="J19" i="4" s="1"/>
  <c r="E20" i="4"/>
  <c r="I20" i="4" s="1"/>
  <c r="F20" i="4"/>
  <c r="J20" i="4" s="1"/>
  <c r="E21" i="4"/>
  <c r="I21" i="4" s="1"/>
  <c r="F21" i="4"/>
  <c r="E22" i="4"/>
  <c r="I22" i="4" s="1"/>
  <c r="F22" i="4"/>
  <c r="J22" i="4" s="1"/>
  <c r="E23" i="4"/>
  <c r="I23" i="4" s="1"/>
  <c r="F23" i="4"/>
  <c r="J23" i="4" s="1"/>
  <c r="E24" i="4"/>
  <c r="F24" i="4"/>
  <c r="J24" i="4" s="1"/>
  <c r="E25" i="4"/>
  <c r="I25" i="4" s="1"/>
  <c r="F25" i="4"/>
  <c r="J25" i="4" s="1"/>
  <c r="E26" i="4"/>
  <c r="I26" i="4" s="1"/>
  <c r="F26" i="4"/>
  <c r="J26" i="4" s="1"/>
  <c r="E27" i="4"/>
  <c r="F27" i="4"/>
  <c r="E28" i="4"/>
  <c r="F28" i="4"/>
  <c r="E29" i="4"/>
  <c r="F29" i="4"/>
  <c r="E30" i="4"/>
  <c r="I30" i="4" s="1"/>
  <c r="F30" i="4"/>
  <c r="J30" i="4" s="1"/>
  <c r="E31" i="4"/>
  <c r="I31" i="4" s="1"/>
  <c r="F31" i="4"/>
  <c r="E32" i="4"/>
  <c r="I32" i="4" s="1"/>
  <c r="F32" i="4"/>
  <c r="J32" i="4" s="1"/>
  <c r="F2" i="4"/>
  <c r="J2" i="4" s="1"/>
  <c r="E2" i="4"/>
  <c r="I2" i="4" s="1"/>
</calcChain>
</file>

<file path=xl/sharedStrings.xml><?xml version="1.0" encoding="utf-8"?>
<sst xmlns="http://schemas.openxmlformats.org/spreadsheetml/2006/main" count="529" uniqueCount="261">
  <si>
    <t>北京市</t>
  </si>
  <si>
    <t>天津市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</si>
  <si>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</si>
  <si>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</si>
  <si>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</si>
  <si>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</si>
  <si>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</si>
  <si>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</si>
  <si>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</si>
  <si>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</si>
  <si>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</si>
  <si>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</si>
  <si>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</si>
  <si>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</si>
  <si>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</si>
  <si>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</si>
  <si>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</si>
  <si>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</si>
  <si>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</si>
  <si>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</si>
  <si>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</si>
  <si>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</si>
  <si>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</si>
  <si>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</si>
  <si>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</si>
  <si>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</si>
  <si>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</si>
  <si>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</si>
  <si>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</si>
  <si>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</si>
  <si>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河北省</t>
    <phoneticPr fontId="1" type="noConversion"/>
  </si>
  <si>
    <t>社平工资（年）</t>
    <phoneticPr fontId="1" type="noConversion"/>
  </si>
  <si>
    <t>居民保</t>
    <phoneticPr fontId="1" type="noConversion"/>
  </si>
  <si>
    <t>灵活就业人员的缴纳金额其中8%进入个人账户，</t>
    <phoneticPr fontId="1" type="noConversion"/>
  </si>
  <si>
    <t>退休养老金=基础养老金+个人账户养老金，</t>
    <phoneticPr fontId="1" type="noConversion"/>
  </si>
  <si>
    <t>基础养老金=退休地上年度社平工资*（1+本人历年缴费指数平均值）/2*本人累计缴费年限*1%</t>
    <phoneticPr fontId="1" type="noConversion"/>
  </si>
  <si>
    <t>个人账户养老金=个人账户储存额/计发月数</t>
    <phoneticPr fontId="1" type="noConversion"/>
  </si>
  <si>
    <t>计发月数根据平均寿命计算，50岁退休按195个月，55岁退休按170个月，60岁退休按139个月</t>
    <phoneticPr fontId="1" type="noConversion"/>
  </si>
  <si>
    <t>职工保参考链接</t>
    <phoneticPr fontId="1" type="noConversion"/>
  </si>
  <si>
    <t>http://www.zqx.gov.cn/info/3496/81772.htm?f_link_type=f_linkinlinenote&amp;flow_extra=eyJpbmxpbmVfZGlzcGxheV9wb3NpdGlvbiI6MCwiZG9jX3Bvc2l0aW9uIjowLCJkb2NfaWQiOiI5NDZjNzZjODA1YTZjZDk2LTMwMzVjMTAzNmFlYjJhMzIifQ%3D%3D</t>
    <phoneticPr fontId="1" type="noConversion"/>
  </si>
  <si>
    <t>职工保</t>
    <phoneticPr fontId="1" type="noConversion"/>
  </si>
  <si>
    <t>退休养老金=基础养老金 + 个人账户养老金</t>
    <phoneticPr fontId="1" type="noConversion"/>
  </si>
  <si>
    <t>基础养老金按退休地（户籍地）政府公布标准发放</t>
    <phoneticPr fontId="1" type="noConversion"/>
  </si>
  <si>
    <t>个人账户养老金=个人账户全部储存额/139</t>
    <phoneticPr fontId="1" type="noConversion"/>
  </si>
  <si>
    <t>灵活就业人员的缴纳金额进入个人账户，</t>
    <phoneticPr fontId="1" type="noConversion"/>
  </si>
  <si>
    <t>居民保参考链接</t>
    <phoneticPr fontId="1" type="noConversion"/>
  </si>
  <si>
    <t>https://www.gov.cn/zhengce/content/2014-02/26/content_8656.htm?eqid=f375af3000092861000000066458c78b&amp;f_link_type=f_linkinlinenote&amp;flow_extra=eyJpbmxpbmVfZGlzcGxheV9wb3NpdGlvbiI6MCwiZG9jX3Bvc2l0aW9uIjowLCJkb2NfaWQiOiJhNDhhZGNjZDFlOTE1YzlmLWUxMGQ2ZWEzNmMyNTI2YzkifQ%3D%3D</t>
    <phoneticPr fontId="1" type="noConversion"/>
  </si>
  <si>
    <t>缴费指数 = 个人选择的缴费基数 / 当地社会平均工资</t>
  </si>
  <si>
    <t>职工保具有抗通胀属性，养老金随着社会平均工资上涨而上涨。</t>
  </si>
  <si>
    <t>居民保属于定额福利，增长较慢，主要满足基本生存需求。</t>
    <phoneticPr fontId="1" type="noConversion"/>
  </si>
  <si>
    <t>缴费比例</t>
    <phoneticPr fontId="1" type="noConversion"/>
  </si>
  <si>
    <t>基础养老金（年）</t>
    <phoneticPr fontId="1" type="noConversion"/>
  </si>
  <si>
    <t>省名</t>
  </si>
  <si>
    <t>参考链接</t>
  </si>
  <si>
    <t>河北省</t>
  </si>
  <si>
    <t>缴费档次与补贴明细（年，分档次）</t>
  </si>
  <si>
    <t>缴费档次与补贴明细（年，分档次）</t>
    <phoneticPr fontId="1" type="noConversion"/>
  </si>
  <si>
    <t>省名</t>
    <phoneticPr fontId="1" type="noConversion"/>
  </si>
  <si>
    <t>可选档次规则</t>
  </si>
  <si>
    <t>可选档次规则</t>
    <phoneticPr fontId="1" type="noConversion"/>
  </si>
  <si>
    <t>缴费指数（上限）</t>
  </si>
  <si>
    <t>缴费指数（上限）</t>
    <phoneticPr fontId="1" type="noConversion"/>
  </si>
  <si>
    <t>缴费指数（下限）</t>
  </si>
  <si>
    <t>缴费指数（下限）</t>
    <phoneticPr fontId="1" type="noConversion"/>
  </si>
  <si>
    <t>缴费基数（年，上限）</t>
    <phoneticPr fontId="1" type="noConversion"/>
  </si>
  <si>
    <t>缴费基数（年，下限）</t>
    <phoneticPr fontId="1" type="noConversion"/>
  </si>
  <si>
    <t>缴费金额（年，下限）</t>
    <phoneticPr fontId="1" type="noConversion"/>
  </si>
  <si>
    <t>缴费金额（年，上限）</t>
    <phoneticPr fontId="1" type="noConversion"/>
  </si>
  <si>
    <t>选档规则</t>
  </si>
  <si>
    <t>选档规则</t>
    <phoneticPr fontId="1" type="noConversion"/>
  </si>
  <si>
    <t>区间自选</t>
  </si>
  <si>
    <t>固定档次</t>
  </si>
  <si>
    <t>动态注入</t>
    <phoneticPr fontId="1" type="noConversion"/>
  </si>
  <si>
    <t>自愿选择合适档次</t>
  </si>
  <si>
    <t>最低缴费金额（年）</t>
    <phoneticPr fontId="1" type="noConversion"/>
  </si>
  <si>
    <t>省份</t>
  </si>
  <si>
    <t>[1000,2000) 补 60, [2000,4000) 补 90, [4000,6000) 补 120, [6000,9000] 补 150</t>
  </si>
  <si>
    <t>https://rsj.beijing.gov.cn/xxgk/2024zcwj/202406/t20240617_3716782.html北京人力社保局</t>
  </si>
  <si>
    <t>600 补 60, 900 补 70, 1200 补 80, 1500 补 90, 1800 补 100, 2100 补 110, 2400 补 120, 2700 补 130, 3000 补 140, 3300 补 150</t>
  </si>
  <si>
    <t>https://www.tjhx.gov.cn/zwgk/zfxxgk/zfgbm/qrlzyhshbzj/fdzdgknr/zdmsxx/shbx/202108/t20210830_5566357.html河西区政府</t>
  </si>
  <si>
    <t>http://www.wuan.gov.cn/zmhd/zcjd/201810/t20181025_1035116.html武安市政府</t>
  </si>
  <si>
    <t>100 补 30, 200 补 35, 300 补 40, 400 补 45, 500 补 60, 600 补 65, 700 补 70, 800 补 75, 900 补 80, 1000 补 85, 1500 补 85, 2000 补 85, 3000 补 85</t>
  </si>
  <si>
    <t>http://www.kulun.gov.cn/zwgk/zfxxgk/fdzdgknr/zfwj/202307/t20230725_376966.html库伦旗政府</t>
  </si>
  <si>
    <t>100 补 30, 200 补 40, 300 补 50, 400 补 60, 500 补 70, 600 补 70, 700 补 70, 800 补 70, 900 补 70, 1000 补 70, 1500 补 70, 2000 补 70</t>
  </si>
  <si>
    <t>https://rst.ln.gov.cn/rst/zcjd/574B04CA7A934917BB711FBA0C8E31A9/index.shtml辽宁人社厅</t>
  </si>
  <si>
    <t>http://jlsi.jl.gov.cn/zcfgjjd/qyzgylbx/201810/t20181023_7261987.html吉林社保局</t>
  </si>
  <si>
    <t>500 补 200, 700 补 250, 900 补 300, 1100 补 350, 1300 补 400, 1700 补 450, 2300 补 525, 3300 补 575, 4300 补 625, 5300 补 675</t>
  </si>
  <si>
    <t>https://rsj.sh.gov.cn/tshbx_17729/20200617/t0035_1389739.html上海人社局</t>
  </si>
  <si>
    <t>100 补 30, 300 补 40, 400 补 50, 500 补 60, 600 补 70, 700 补 80, 800 补 90, 900 补 100, 1000 补 110, 1500 补 120, 2000 补 130, 2500 补 140, 3000 补 150, 3600 补 160, 6000 补 160</t>
  </si>
  <si>
    <t>http://xxgk.guannan.gov.cn/zdly/show-177.html灌南县政府</t>
  </si>
  <si>
    <t>固定档次（全省设指导线，各地市自主设定细则）</t>
  </si>
  <si>
    <t>https://www.yuexi.gov.cn/zwzt/yxxmsgc/zccs/2018373261.html岳西县府</t>
  </si>
  <si>
    <t>100 补 30, 200 补 40, 300 补 50, 400 补 60, 500 补 70, 600 补 80, 700 补 90, 800 补 100, 900 补 100, 1000 补 100, 1100 补 100, 1200 补 100, 1300 补 100, 1400 补 100, 1500 补 100, 1600 补 100, 1700 补 100, 1800 补 100, 1900 补 100, 2000 补 100</t>
  </si>
  <si>
    <t>http://www.xianyou.gov.cn/xxgk/tzgg/201804/t20180428_1075234.htm仙游县政府</t>
  </si>
  <si>
    <t>300 补 40, 400 补 50, 500 补 60, 600 补 65, 700 补 70, 800 补 75, 900 补 80, 1000 补 85, 1500 补 90, 2000 补 95, 3000 补 100</t>
  </si>
  <si>
    <t>http://hrss.shandong.gov.cn/articles/ch00472/201811/ce4124ab-7e59-4f3d-8e59-c6f4212bd2a1.shtml山东人社厅</t>
  </si>
  <si>
    <t>200 补 30, 300 补 40, 400 补 50, 500 补 60, 600 补 80, 700 补 100, 800 补 120, 900 补 140, 1000 补 160, 1500 补 190, 2000 补 220, 2500 补 250, 3000 补 280, 4000 补 310, 5000 补 340</t>
  </si>
  <si>
    <t>https://www.mohrss.gov.cn/ncshbxs/NCSHBXSgongzuodongtai/201803/t20180308_289378.html人社部</t>
  </si>
  <si>
    <t>https://www.pjq.gov.cn/gzjg/zcbm/pjqrlzyhshbzj/ztzl/sbxxgk/sbsj/content/post_1098138.html蓬江区政府</t>
  </si>
  <si>
    <t>100 补 30, 200 补 40, 300 补 50, 400 补 55, 500 补 60, 600 补 65, 700 补 70, 800 补 75, 900 补 80, 1000 补 80, 1500 补 80, 2000 补 80</t>
  </si>
  <si>
    <t>https://czt.gxzf.gov.cn/hdjl/shrdhy/t3551878.shtml广西财政厅</t>
  </si>
  <si>
    <t>https://rlsbj.cq.gov.cn/ywzl/shbx/zczs/202006/t20200604_7541826.html重庆人社局</t>
  </si>
  <si>
    <t>100 补 40, 200 补 40, 300 补 45, 400 补 50, 500 补 60, 600 补 60, 700 补 65, 800 补 70, 900 补 75, 1000 补 80, 1500 补 100, 2000 补 120, 3000 补 160</t>
  </si>
  <si>
    <t>http://www.jiajiang.gov.cn/jjx/jjbmwj/201811/a6400bdc50f242b0a914feee4834ce1e.shtml夹江县政府</t>
  </si>
  <si>
    <t>100 补 30, 200 补 30, 300 补 30, 400 补 30, 500 补 60, 600 补 60, 700 补 60, 800 补 60, 900 补 60, 1000 补 90, 1200 补 90, 1500 补 90, 2000 补 90</t>
  </si>
  <si>
    <t>https://www.gzqianxi.gov.cn/zwgk2022/zdzfxxgk/xzjd/hsz/tzgg_5920433/201805/t20180525_25241597.html黔西市政府</t>
  </si>
  <si>
    <t>http://www.nqnrx.gov.cn/nqnrx/msly/202208/f4f232eb4a784393a85e8ed0520a4a32.shtml聂荣县政府</t>
  </si>
  <si>
    <t>100 补 30, 200 补 30, 300 补 40, 400 补 45, 500 补 60, 600 补 65, 700 补 70, 800 补 75, 900 补 80, 1000 补 100, 1500 补 150, 2000 补 200</t>
  </si>
  <si>
    <t>http://www.lantian.gov.cn/zwgk/zcwj/xzfwj/5e991476fd85080ad150f025.html蓝田县政府</t>
  </si>
  <si>
    <t>100 补 30, 200 补 30, 300 补 30, 400 补 30, 500 补 60, 600 补 60, 700 补 60, 800 补 60, 900 补 60, 1000 补 60, 1500 补 60, 2000 补 60</t>
  </si>
  <si>
    <t>http://www.tianshui.gov.cn/info/2671/834381.htm天水市政府</t>
  </si>
  <si>
    <t>100 补 30, 300 补 50, 500 补 70, 1000 补 120, 2000 补 200, 3000 补 320</t>
  </si>
  <si>
    <t>http://si.nx.gov.cn/xxgkai/xxgk/zcfg_1/201806/t20180629_853898.html宁夏社保局</t>
  </si>
  <si>
    <t>100 补 5, 200 补 5, 300 补 10, 400 补 15, 500 补 20, 600 补 25, 700 补 30, 800 补 35, 900 补 40, 1000 补 45, 1500 补 70, 2000 补 95, 2500 补 120, 3000 补 145, 3500 补 170</t>
  </si>
  <si>
    <t>https://m12333.cn/policy/izm.html人社通</t>
  </si>
  <si>
    <t>100 补 30, 200 补 30, 300 补 30, 400 补 30, 500 补 60, 600 补 60, 700 补 60, 800 补 60, 900 补 60, 1000 补 60, 1500 补 60, 2000 补 60, 3000 补 60</t>
    <phoneticPr fontId="1" type="noConversion"/>
  </si>
  <si>
    <t>https://www.shanxi.gov.cn/zcwjk/szfwj/202411/t20241126_9707159_wjkDetail.shtml</t>
    <phoneticPr fontId="1" type="noConversion"/>
  </si>
  <si>
    <t>100 补 30, 200 补 35, 300 补 40, 400 补 50, 500 补 60, 600 补 60, 700 补 70, 800 补 70, 900 补 70, 1000 补 80, 1500 补 80, 2000 补 80</t>
    <phoneticPr fontId="1" type="noConversion"/>
  </si>
  <si>
    <t>https://xxgk.jl.gov.cn/qtdw/jgsw_98202/zcfg/201905/t20190505_5838820.html</t>
    <phoneticPr fontId="1" type="noConversion"/>
  </si>
  <si>
    <t>100 补 30, 200 补 40, 300 补 50, 400 补 60, 500 补 70, 600 补 80, 700 补 90, 800 补 100, 900 补 110, 1000 补 120, 1500 补 145, 2000 补 170</t>
    <phoneticPr fontId="1" type="noConversion"/>
  </si>
  <si>
    <t>https://www.hlj.gov.cn/hlj/c108102/201404/c00_30644402.shtml；
https://www.hlj.gov.cn/hlj/c108091/201409/c00_30644497.shtml</t>
    <phoneticPr fontId="1" type="noConversion"/>
  </si>
  <si>
    <t>100 补 30, 200 补 40, 300 补 50, 400 补 60, 500 补 70, 600 补 70, 700 补 70, 800 补 70, 900 补 70, 1000 补 70, 1500 补 70, 2000 补 70</t>
    <phoneticPr fontId="1" type="noConversion"/>
  </si>
  <si>
    <t>https://m12333.cn/policy/prayw.html</t>
    <phoneticPr fontId="1" type="noConversion"/>
  </si>
  <si>
    <t>100 补 50, 200 补 50, 300 补 60, 400 补 60, 500 补 80, 600 补 80, 700 补 90, 800 补 90, 900 补 100, 1000 补 100, 1500 补 120, 2000 补 130</t>
    <phoneticPr fontId="1" type="noConversion"/>
  </si>
  <si>
    <t>200 补 35, 300 补 40, 400 补 50, 500 补 60, 600 补 60, 700 补 60, 800 补 60, 900 补 60, 1000 补 60, 1500 补 60, 2000 补 60, 3000 补 60</t>
    <phoneticPr fontId="1" type="noConversion"/>
  </si>
  <si>
    <t>https://www.shui5.cn/article/f6/162762.html</t>
    <phoneticPr fontId="1" type="noConversion"/>
  </si>
  <si>
    <t>100 补 30, 300 补 40, 500 补 60, 600 补 60, 800 补 80, 1000 补 80, 1500 补 80, 2000 补 80, 2500 补 85, 3000 补 90, 4000 补 95, 5000 补 100</t>
    <phoneticPr fontId="1" type="noConversion"/>
  </si>
  <si>
    <t>120 补 100, 240 补 100, 360 补 100, 480 补 130, 600 补 130, 900 补 130, 1200 补 130, 1800 补 130, 3600 补 130</t>
    <phoneticPr fontId="1" type="noConversion"/>
  </si>
  <si>
    <t>200 补 40, 300 补 50, 400 补 60, 500 补 70, 600 补 80, 700 补 90, 800 补 100, 900 补 110, 1000 补 120, 1500 补 130, 2000 补 140, 3000 补 150, 5000 补 160</t>
    <phoneticPr fontId="1" type="noConversion"/>
  </si>
  <si>
    <t>https://www.haikou.gov.cn/zxfw/smfw/sb/shbx/ylbx/201709/t335985.shtml</t>
    <phoneticPr fontId="1" type="noConversion"/>
  </si>
  <si>
    <t>100 补 30, 200 补 40, 300 补 50, 400 补 60, 500 补 70, 600 补 80, 700 补 90, 800 补 100, 900 补 110, 1000 补 120, 1500 补 130, 2000 补 140</t>
    <phoneticPr fontId="1" type="noConversion"/>
  </si>
  <si>
    <t>https://www.shui5.cn/article/c0/179154.html</t>
    <phoneticPr fontId="1" type="noConversion"/>
  </si>
  <si>
    <t>http://www.kmyl.gov.cn/c/2018-02-02/2320640.shtml</t>
    <phoneticPr fontId="1" type="noConversion"/>
  </si>
  <si>
    <t>100 补 10, 200 补 10, 300 补 20, 400 补 30, 500 补 40, 600 补 50, 700 补 60, 800 补 70, 900 补 80, 1000 补 90, 1500 补 100, 2000 补 100</t>
    <phoneticPr fontId="1" type="noConversion"/>
  </si>
  <si>
    <t>100 补 40, 200 补 45, 300 补 50, 400 补 55, 500 补 60, 600 补 65, 700 补 70, 800 补 75, 900 补 80, 1000 补 85, 1500 补 90, 2000 补 95</t>
    <phoneticPr fontId="1" type="noConversion"/>
  </si>
  <si>
    <t>http://www.qinghai.gov.cn/xxgk/xxgk/fd/zfwj/201712/t20171222_18165.html</t>
    <phoneticPr fontId="1" type="noConversion"/>
  </si>
  <si>
    <t>100 补 30, 200 补 40, 300 补 50, 400 补 60, 500 补 70, 600 补 85, 700 补 100, 800 补 115, 900 补 130, 1000 补 145, 1500 补 165, 2000 补 185</t>
    <phoneticPr fontId="1" type="noConversion"/>
  </si>
  <si>
    <t>湖北省</t>
    <phoneticPr fontId="1" type="noConversion"/>
  </si>
  <si>
    <t>湖南省</t>
    <phoneticPr fontId="1" type="noConversion"/>
  </si>
  <si>
    <t>100 补 30, 200 补 45, 300 补 45, 400 补 45, 500 补 60, 600 补 60, 700 补 60, 800 补 60, 900 补 60, 1000 补 60, 1500 补 60, 2000 补 60</t>
    <phoneticPr fontId="1" type="noConversion"/>
  </si>
  <si>
    <t>https://rst.hubei.gov.cn/zfxxgk/zc/qtzdgkwj/201509/t20150907_705457.shtml</t>
    <phoneticPr fontId="1" type="noConversion"/>
  </si>
  <si>
    <t>100 补 30, 200 补 30, 300 补 40, 400 补 40, 500 补 60, 600 补 60, 700 补 60, 800 补 60, 900 补 60, 1000 补 60, 1500 补 60, 2000 补 60, 2500 补 60, 3000 补 60</t>
    <phoneticPr fontId="1" type="noConversion"/>
  </si>
  <si>
    <t>https://www.hunan.gov.cn/hnszf/szf/hnzb_18/2014_18/2014nd15q_18/szfwj_98177_18/201408/t20140820_4700975.html</t>
    <phoneticPr fontId="1" type="noConversion"/>
  </si>
  <si>
    <t>缴费比例</t>
  </si>
  <si>
    <t>基础养老金标准（元 / 月）</t>
  </si>
  <si>
    <t>705（64 岁及以下）/715（65 岁及以上）</t>
  </si>
  <si>
    <t>https://rsj.beijing.gov.cn/xxgk/2024zcwj/202406/t20240617_3716801.html北京人力社保局</t>
  </si>
  <si>
    <t>https://rsj.sh.gov.cn/tshbx_17729/20200617/t0035_1389122.html上海人社局</t>
  </si>
  <si>
    <t>https://hrss.tj.gov.cn/zhengwugongkai/zhengcezhinan/zxwjnew/202012/t20201206_4492600.html天津人社局</t>
  </si>
  <si>
    <t>https://www.xinji.gov.cn/app/qtwj/117148.html辛集市政府</t>
  </si>
  <si>
    <t>85（省级最低标准）</t>
  </si>
  <si>
    <t>http://www.liulin.gov.cn/llxxxgk/zfxxgk/zdlygk/ylfu/202105/W020210511312134059025.pdf柳林县政府</t>
  </si>
  <si>
    <t>https://rst.ln.gov.cn/rst/zfxx/fdzdgknr/lzyj/rstgfxwj/lrsg/B9B40A258CB346AAB2BC1EA43239BC1F/index.shtml辽宁人社厅</t>
  </si>
  <si>
    <t>https://www.hlj.gov.cn/hlj/c108006/201801/c00_30645128.shtml黑龙江省政府</t>
  </si>
  <si>
    <t>https://jshrss.jiangsu.gov.cn/art/2019/3/27/art_77277_9079844.html江苏人社厅</t>
  </si>
  <si>
    <t>https://m12333.cn/policy/mbke.html人社通</t>
  </si>
  <si>
    <t>88（全国最低标准，省级同步执行）</t>
  </si>
  <si>
    <t>https://hrss.ah.gov.cn/csdh/ncbx/8436171.html安徽人社厅</t>
  </si>
  <si>
    <t>https://rst.fujian.gov.cn/zw/zfxxgk/zfxxgkml/zyywgz/ldgx/201806/t20180622_3359825.htm福建人社厅</t>
  </si>
  <si>
    <t>http://finance.people.com.cn/BIG5/n1/2018/1015/c1004-30340504.html</t>
  </si>
  <si>
    <t>http://www.m12333.com/policy/pfmb.html</t>
  </si>
  <si>
    <t>http://rst.hubei.gov.cn/zfxxgk/zc/qtzdgkwj/201809/t20180929_705556.shtml湖北人社厅</t>
  </si>
  <si>
    <t>https://www.gd.gov.cn/zwgk/gongbao/2018/30/content/post_3366079.html广东省政府</t>
  </si>
  <si>
    <t>https://m12333.cn/policy/szpe.html</t>
  </si>
  <si>
    <t>178（2018 年 7 月二次调整后最终标准）</t>
  </si>
  <si>
    <t>http://news.hndaily.cn/h5/html5/2018-07/12/content_1_1.htm</t>
  </si>
  <si>
    <t>100（2018 年 12 月二次调整后最终标准）</t>
  </si>
  <si>
    <t>https://www.sc.gov.cn/10462/10464/10797/2018/11/28/10463781.shtml四川省政府</t>
  </si>
  <si>
    <t>93（2018 年 10 月二次调整后最终标准）</t>
  </si>
  <si>
    <t>https://www.guanshanhu.gov.cn/zwgk/zdlyxx/shbx_5780482/201901/t20190116_64475957.html观山湖区政府</t>
  </si>
  <si>
    <t>https://m12333.cn/policy/mbys.html</t>
  </si>
  <si>
    <t>http://hrss.xizang.gov.cn/zcfg/shbz/202101/P020210602619031829861.pdf西藏人社厅</t>
  </si>
  <si>
    <t>103（中央 88 元 + 省级 5 元合计标准）</t>
  </si>
  <si>
    <t>https://rst.shaanxi.gov.cn/zcfg/zcfgsjk/gfxwj/shbz/201806/t20180606_3019445.html陕西人社厅</t>
  </si>
  <si>
    <t>http://gansu.gscn.com.cn/system/2018/09/06/012011339.shtml</t>
  </si>
  <si>
    <t>140（普调基础标准，不含高龄倾斜）</t>
  </si>
  <si>
    <t>https://hrss.nx.gov.cn/xxgk/zcj/zcfg/shbz/201808/t20180821_987979.html宁夏人社厅</t>
  </si>
  <si>
    <t>https://m12333.cn/policy/mbyw.html</t>
  </si>
  <si>
    <t>基础养老金标准（元 / 年）</t>
    <phoneticPr fontId="1" type="noConversion"/>
  </si>
  <si>
    <t>来自中国统计年鉴</t>
    <phoneticPr fontId="1" type="noConversion"/>
  </si>
  <si>
    <t>https://www.stats.gov.cn/sj/ndsj/2018/indexch.htm</t>
    <phoneticPr fontId="1" type="noConversion"/>
  </si>
  <si>
    <t>城镇非私营单位就业人员平均工资（元/年）</t>
    <phoneticPr fontId="1" type="noConversion"/>
  </si>
  <si>
    <t>缴费指数</t>
  </si>
  <si>
    <t>参考链接（https 开头）</t>
  </si>
  <si>
    <t>可在 2017 年度本市职工月平均工资的 40%、60%、100% 三档自主选择</t>
  </si>
  <si>
    <t>https://rsj.beijing.gov.cn/xxgk/tzgg/201912/t20191207_953372.html</t>
  </si>
  <si>
    <t>可在 2017 年度本市在岗职工月平均工资的 60% 至 100% 之间自主选择，基准值为 100%</t>
  </si>
  <si>
    <t>https://hrss.tj.gov.cn/zhengwugongkai/zhengcezhinan/zxwjnew/202012/t20201206_4492401.html</t>
  </si>
  <si>
    <t>可在 2017 年度本市职工月平均工资的 60% 至 300% 之间自主选择</t>
  </si>
  <si>
    <t>https://rsj.sh.gov.cn/tbmts_17501/20200617/t0035_1373258.html</t>
  </si>
  <si>
    <t>可在 2017 年度全市城镇经济单位在岗职工月平均工资的 60%、80%、100% 三档自主选择</t>
  </si>
  <si>
    <t>https://rlsbj.cq.gov.cn/ywzl/shbx/zczs/202006/t20200604_7541618.html</t>
  </si>
  <si>
    <t>可在 2017 年度全省在岗职工月平均工资的 60% 至 300% 之间自主选择</t>
  </si>
  <si>
    <t>可在 2017 年度全省在岗职工月平均工资的 60%、100% 两档自主选择</t>
  </si>
  <si>
    <t>https://m.thepaper.cn/newsDetail_forward_2169034</t>
  </si>
  <si>
    <t>可在 2017 年度全省在岗职工月平均工资的 60% 至 300% 之间自主选择，各地市分档执行</t>
  </si>
  <si>
    <t>https://rst.ln.gov.cn/rst/zcjd/E1C8D30BCE794FC1ABED5CCC47C27FCF/</t>
  </si>
  <si>
    <t>可在 2017 年度全省在岗职工月平均工资的 60%、80%、100%、110%、120% 五档自主选择</t>
  </si>
  <si>
    <t>https://jl.cri.cn/2018-01-18/590fc3af-2906-4302-783c-a8c3266dbb94.html</t>
  </si>
  <si>
    <t>https://m12333.cn/policy/iupp.html</t>
  </si>
  <si>
    <t>https://www.sohu.com/a/239078859_648787</t>
  </si>
  <si>
    <t>可在 2017 年度全省在岗职工月平均工资的 60% 至 100% 之间自主选择</t>
  </si>
  <si>
    <t>https://hrss.ah.gov.cn/wtjd/ylbxian/8394246.html</t>
  </si>
  <si>
    <t>https://www.putian.gov.cn/ggfwpt/shbz/shbx/zcjjd/201810/t20181025_1247844.htm</t>
  </si>
  <si>
    <t>可在 2017 年度全省在岗职工月平均工资的 60%、80%、100%、200%、300% 五档自主选择</t>
  </si>
  <si>
    <t>https://rsj.jiujiang.gov.cn/zwzx_211/gggs/201801/t20180102_2631328.html</t>
  </si>
  <si>
    <t>https://rshj.yantai.gov.cn/art/2018/10/8/art_23318_1969670.html</t>
  </si>
  <si>
    <t>可在 2017 年度当地在岗职工月平均工资的 60% 至 300% 之间自主选择</t>
  </si>
  <si>
    <t>https://www.mohrss.gov.cn/SYrlzyhshbzb/dongtaixinwen/dfdt/gzdt/201811/t20181107_304370.html</t>
  </si>
  <si>
    <t>可在 2017 年度当地在岗职工月平均工资的 60%、70%、80%、90%、100%、150%、200%、250%、300% 九档自主选择</t>
  </si>
  <si>
    <t>https://m12333.cn/policy/mwiu.html</t>
  </si>
  <si>
    <t>https://www.huaihua.gov.cn/rsj/c108772/201804/28e7559457644873a415aa20e8fa58d2.shtml</t>
  </si>
  <si>
    <t>https://guangdong.chinatax.gov.cn/gdsw/qysw_tzgg/2018-07/13/content_71b70ee42e6a44e48623f177dc846c6d.shtml</t>
  </si>
  <si>
    <t>https://ssw.gxrb.com.cn/html/html5/2018/07/31/201807311916088259.html</t>
  </si>
  <si>
    <t>https://www.haikou.gov.cn/zxfw/smfw/sb/shbx/shbxgxgl/201806/t335907.shtml</t>
  </si>
  <si>
    <t>可在 2017 年度全省在岗职工月平均工资的 40% 至 100% 之间分档自主选择</t>
  </si>
  <si>
    <t>https://www.sc.gov.cn/10462/10464/10465/10595/2018/5/22/10451423.shtml</t>
  </si>
  <si>
    <t>可在 2017 年度全省在岗职工月平均工资的 40%、60%、100% 三档自主选择</t>
  </si>
  <si>
    <t>可在 2017 年度全省在岗职工月平均工资的 40%、50%、60%、70%、80%、90%、100% 七档自主选择</t>
  </si>
  <si>
    <t>https://www.sxshbzj.cn/newstyle/pub_newsshow.asp?chid=100056&amp;id=29013733</t>
  </si>
  <si>
    <t>https://m12333.cn/policy/pyf.html</t>
  </si>
  <si>
    <t>可在 2017 年度全省在岗职工月平均工资的 60%、70%、80%、90%、100% 五档自主选择</t>
  </si>
  <si>
    <t>https://www.toutiao.com/group/6571881575233880583/</t>
  </si>
  <si>
    <t>可在 2017 年度全区在岗职工月平均工资的 50%、60%、70%、80%、90%、100% 六档自主选择</t>
  </si>
  <si>
    <t>https://hrss.nx.gov.cn/xxgk/zcj/zcfg/shbz/201807/t20180716_908824.html</t>
  </si>
  <si>
    <t>可在 2017 年度全区在岗职工月平均工资的 50%、60%、100% 三档自主选择</t>
  </si>
  <si>
    <t>https://www.ts.cn/xwzx/shxw/201807/t20180723_6309204.shtml</t>
  </si>
  <si>
    <t>https://www.nmg.gov.cn/ztzl/suiygk/rlzyhshbzt_27125/202112/P020211215417880696668.pdf</t>
  </si>
  <si>
    <t>https://www.clxzf.gov.cn/single/23/4999.html</t>
    <phoneticPr fontId="1" type="noConversion"/>
  </si>
  <si>
    <t>可在 2017 年度全区在岗职工月平均工资的60%、70%、80%、90%、100%、150%、200%、300% 共 8 个档次中自主选择</t>
    <phoneticPr fontId="1" type="noConversion"/>
  </si>
  <si>
    <t>https://www.imfic.com.cn/sh/74169.html</t>
    <phoneticPr fontId="1" type="noConversion"/>
  </si>
  <si>
    <t>可在 2017 年度全省在岗职工月平均工资的60%、70%、80%、90%、100%、150%、200%、250%、300% 共 9 个档次中自主选择</t>
    <phoneticPr fontId="1" type="noConversion"/>
  </si>
  <si>
    <t>可在 2017 年度全省在岗职工月平均工资的 80%、150%、300%共3个档次中自主选择</t>
    <phoneticPr fontId="1" type="noConversion"/>
  </si>
  <si>
    <t>可在 2017 年度全省在岗职工月平均工资的 60% 至 300% 之间自主选择</t>
    <phoneticPr fontId="1" type="noConversion"/>
  </si>
  <si>
    <t>可在 2017 年度全省在岗职工月平均工资的 60%、100% 两档自主选择</t>
    <phoneticPr fontId="1" type="noConversion"/>
  </si>
  <si>
    <t>可在 2017 年度全省在岗职工月平均工资的 60% 、100% 两档中自主选择</t>
    <phoneticPr fontId="1" type="noConversion"/>
  </si>
  <si>
    <t>可在 2017 年度全区在岗职工月平均工资的 60%、70%、80%、90%、100%、150%、200%、300% 八档自主选择</t>
    <phoneticPr fontId="1" type="noConversion"/>
  </si>
  <si>
    <t>https://rst.guizhou.gov.cn/zwgk/jdhy/zcwj/201807/t20180726_63492835.html</t>
    <phoneticPr fontId="1" type="noConversion"/>
  </si>
  <si>
    <t>https://www.yuxi.gov.cn/gg/20180611/913624.html</t>
    <phoneticPr fontId="1" type="noConversion"/>
  </si>
  <si>
    <t>https://www.xizang.gov.cn/xwzx_406/dsdt/201812/t20181217_25466.html</t>
    <phoneticPr fontId="1" type="noConversion"/>
  </si>
  <si>
    <t>2017 年度全区在岗职工月平均工资的 100%</t>
    <phoneticPr fontId="1" type="noConversion"/>
  </si>
  <si>
    <t>固定档次：40%，60%，100%</t>
  </si>
  <si>
    <t>自愿选择合适档次（基准值为 100%）</t>
  </si>
  <si>
    <t>固定档次：60%，100%</t>
  </si>
  <si>
    <t>固定档次：60%，70%，80%，90%，100%，150%，200%，300%</t>
  </si>
  <si>
    <t>自愿选择合适档次（各地市分档执行）</t>
  </si>
  <si>
    <t>固定档次：60%，80%，100%，110%，120%</t>
  </si>
  <si>
    <t>固定档次：60%，70%，80%，90%，100%，150%，200%，250%，300%</t>
  </si>
  <si>
    <t>固定档次：80%，150%，300%</t>
  </si>
  <si>
    <t>固定档次：60%，80%，100%，200%，300%</t>
  </si>
  <si>
    <t>固定档次：60%，80%，100%</t>
  </si>
  <si>
    <t>自愿选择合适档次（分档执行）</t>
  </si>
  <si>
    <t>固定档次：100%</t>
  </si>
  <si>
    <t>固定档次：40%，50%，60%，70%，80%，90%，100%</t>
  </si>
  <si>
    <t>固定档次：60%，70%，80%，90%，100%</t>
  </si>
  <si>
    <t>固定档次：50%，60%，70%，80%，90%，100%</t>
  </si>
  <si>
    <t>固定档次：50%，60%，100%</t>
  </si>
  <si>
    <t>固定档次</t>
    <phoneticPr fontId="1" type="noConversion"/>
  </si>
  <si>
    <t>2018年全国各地尚未放开户籍限制，灵活就业人员一般在户籍地参保</t>
    <phoneticPr fontId="1" type="noConversion"/>
  </si>
  <si>
    <t>领取条件：累计缴费满15年，年满60岁</t>
    <phoneticPr fontId="1" type="noConversion"/>
  </si>
  <si>
    <t>领取条件：累计缴费满15年，男60岁，女55岁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</si>
</sst>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2">
      <alignment vertical="center"/>
    </xf>
    <xf numFmtId="9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2" applyAlignment="1">
      <alignment horizontal="left" vertical="center"/>
    </xf>
    <xf numFmtId="9" fontId="0" fillId="0" borderId="0" xfId="0" applyNumberFormat="1" applyAlignment="1">
      <alignment horizontal="left" vertical="center" wrapText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176" fontId="0" fillId="0" borderId="0" xfId="1" applyNumberFormat="1" applyFon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v.cn/zhengce/content/2014-02/26/content_8656.htm?eqid=f375af3000092861000000066458c78b&amp;f_link_type=f_linkinlinenote&amp;flow_extra=eyJpbmxpbmVfZGlzcGxheV9wb3NpdGlvbiI6MCwiZG9jX3Bvc2l0aW9uIjowLCJkb2NfaWQiOiJhNDhhZGNjZDFlOTE1YzlmLWUxMGQ2ZWEzNmMyNTI2YzkifQ%3D%3D" TargetMode="External"/><Relationship Id="rId1" Type="http://schemas.openxmlformats.org/officeDocument/2006/relationships/hyperlink" Target="http://www.zqx.gov.cn/info/3496/81772.htm?f_link_type=f_linkinlinenote&amp;flow_extra=eyJpbmxpbmVfZGlzcGxheV9wb3NpdGlvbiI6MCwiZG9jX3Bvc2l0aW9uIjowLCJkb2NfaWQiOiI5NDZjNzZjODA1YTZjZDk2LTMwMzVjMTAzNmFlYjJhMzI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sj.sh.gov.cn/tshbx_17729/20200617/t0035_1389739.html" TargetMode="External"/><Relationship Id="rId13" Type="http://schemas.openxmlformats.org/officeDocument/2006/relationships/hyperlink" Target="https://www.mohrss.gov.cn/ncshbxs/NCSHBXSgongzuodongtai/201803/t20180308_289378.html" TargetMode="External"/><Relationship Id="rId18" Type="http://schemas.openxmlformats.org/officeDocument/2006/relationships/hyperlink" Target="http://www.kmyl.gov.cn/c/2018-02-02/2320640.shtml" TargetMode="External"/><Relationship Id="rId26" Type="http://schemas.openxmlformats.org/officeDocument/2006/relationships/hyperlink" Target="https://www.shui5.cn/article/f6/162762.html" TargetMode="External"/><Relationship Id="rId3" Type="http://schemas.openxmlformats.org/officeDocument/2006/relationships/hyperlink" Target="http://www.wuan.gov.cn/zmhd/zcjd/201810/t20181025_1035116.html" TargetMode="External"/><Relationship Id="rId21" Type="http://schemas.openxmlformats.org/officeDocument/2006/relationships/hyperlink" Target="http://www.tianshui.gov.cn/info/2671/834381.htm" TargetMode="External"/><Relationship Id="rId7" Type="http://schemas.openxmlformats.org/officeDocument/2006/relationships/hyperlink" Target="https://xxgk.jl.gov.cn/qtdw/jgsw_98202/zcfg/201905/t20190505_5838820.html" TargetMode="External"/><Relationship Id="rId12" Type="http://schemas.openxmlformats.org/officeDocument/2006/relationships/hyperlink" Target="http://hrss.shandong.gov.cn/articles/ch00472/201811/ce4124ab-7e59-4f3d-8e59-c6f4212bd2a1.shtml" TargetMode="External"/><Relationship Id="rId17" Type="http://schemas.openxmlformats.org/officeDocument/2006/relationships/hyperlink" Target="https://www.gzqianxi.gov.cn/zwgk2022/zdzfxxgk/xzjd/hsz/tzgg_5920433/201805/t20180525_25241597.html" TargetMode="External"/><Relationship Id="rId25" Type="http://schemas.openxmlformats.org/officeDocument/2006/relationships/hyperlink" Target="https://m12333.cn/policy/prayw.html" TargetMode="External"/><Relationship Id="rId2" Type="http://schemas.openxmlformats.org/officeDocument/2006/relationships/hyperlink" Target="https://www.tjhx.gov.cn/zwgk/zfxxgk/zfgbm/qrlzyhshbzj/fdzdgknr/zdmsxx/shbx/202108/t20210830_5566357.html" TargetMode="External"/><Relationship Id="rId16" Type="http://schemas.openxmlformats.org/officeDocument/2006/relationships/hyperlink" Target="http://www.jiajiang.gov.cn/jjx/jjbmwj/201811/a6400bdc50f242b0a914feee4834ce1e.shtml" TargetMode="External"/><Relationship Id="rId20" Type="http://schemas.openxmlformats.org/officeDocument/2006/relationships/hyperlink" Target="http://www.lantian.gov.cn/zwgk/zcwj/xzfwj/5e991476fd85080ad150f025.html" TargetMode="External"/><Relationship Id="rId29" Type="http://schemas.openxmlformats.org/officeDocument/2006/relationships/hyperlink" Target="http://www.qinghai.gov.cn/xxgk/xxgk/fd/zfwj/201712/t20171222_18165.html" TargetMode="External"/><Relationship Id="rId1" Type="http://schemas.openxmlformats.org/officeDocument/2006/relationships/hyperlink" Target="https://rsj.beijing.gov.cn/xxgk/2024zcwj/202406/t20240617_3716782.html" TargetMode="External"/><Relationship Id="rId6" Type="http://schemas.openxmlformats.org/officeDocument/2006/relationships/hyperlink" Target="https://rst.ln.gov.cn/rst/zcjd/574B04CA7A934917BB711FBA0C8E31A9/index.shtml" TargetMode="External"/><Relationship Id="rId11" Type="http://schemas.openxmlformats.org/officeDocument/2006/relationships/hyperlink" Target="http://www.xianyou.gov.cn/xxgk/tzgg/201804/t20180428_1075234.htm" TargetMode="External"/><Relationship Id="rId24" Type="http://schemas.openxmlformats.org/officeDocument/2006/relationships/hyperlink" Target="https://www.hlj.gov.cn/hlj/c108102/201404/c00_30644402.shtml" TargetMode="External"/><Relationship Id="rId5" Type="http://schemas.openxmlformats.org/officeDocument/2006/relationships/hyperlink" Target="http://www.kulun.gov.cn/zwgk/zfxxgk/fdzdgknr/zfwj/202307/t20230725_376966.html" TargetMode="External"/><Relationship Id="rId15" Type="http://schemas.openxmlformats.org/officeDocument/2006/relationships/hyperlink" Target="https://czt.gxzf.gov.cn/hdjl/shrdhy/t3551878.shtml" TargetMode="External"/><Relationship Id="rId23" Type="http://schemas.openxmlformats.org/officeDocument/2006/relationships/hyperlink" Target="https://m12333.cn/policy/izm.html" TargetMode="External"/><Relationship Id="rId28" Type="http://schemas.openxmlformats.org/officeDocument/2006/relationships/hyperlink" Target="https://www.shui5.cn/article/c0/179154.html" TargetMode="External"/><Relationship Id="rId10" Type="http://schemas.openxmlformats.org/officeDocument/2006/relationships/hyperlink" Target="https://www.yuexi.gov.cn/zwzt/yxxmsgc/zccs/2018373261.html" TargetMode="External"/><Relationship Id="rId19" Type="http://schemas.openxmlformats.org/officeDocument/2006/relationships/hyperlink" Target="http://www.nqnrx.gov.cn/nqnrx/msly/202208/f4f232eb4a784393a85e8ed0520a4a32.shtml" TargetMode="External"/><Relationship Id="rId31" Type="http://schemas.openxmlformats.org/officeDocument/2006/relationships/hyperlink" Target="https://www.hunan.gov.cn/hnszf/szf/hnzb_18/2014_18/2014nd15q_18/szfwj_98177_18/201408/t20140820_4700975.html" TargetMode="External"/><Relationship Id="rId4" Type="http://schemas.openxmlformats.org/officeDocument/2006/relationships/hyperlink" Target="https://www.shanxi.gov.cn/zcwjk/szfwj/202411/t20241126_9707159_wjkDetail.shtml" TargetMode="External"/><Relationship Id="rId9" Type="http://schemas.openxmlformats.org/officeDocument/2006/relationships/hyperlink" Target="http://xxgk.guannan.gov.cn/zdly/show-177.html" TargetMode="External"/><Relationship Id="rId14" Type="http://schemas.openxmlformats.org/officeDocument/2006/relationships/hyperlink" Target="https://www.pjq.gov.cn/gzjg/zcbm/pjqrlzyhshbzj/ztzl/sbxxgk/sbsj/content/post_1098138.html" TargetMode="External"/><Relationship Id="rId22" Type="http://schemas.openxmlformats.org/officeDocument/2006/relationships/hyperlink" Target="http://si.nx.gov.cn/xxgkai/xxgk/zcfg_1/201806/t20180629_853898.html" TargetMode="External"/><Relationship Id="rId27" Type="http://schemas.openxmlformats.org/officeDocument/2006/relationships/hyperlink" Target="https://www.haikou.gov.cn/zxfw/smfw/sb/shbx/ylbx/201709/t335985.shtml" TargetMode="External"/><Relationship Id="rId30" Type="http://schemas.openxmlformats.org/officeDocument/2006/relationships/hyperlink" Target="https://rst.hubei.gov.cn/zfxxgk/zc/qtzdgkwj/201509/t20150907_705457.s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jlsi.jl.gov.cn/zcfgjjd/qyzgylbx/201810/t20181023_7261987.html" TargetMode="External"/><Relationship Id="rId13" Type="http://schemas.openxmlformats.org/officeDocument/2006/relationships/hyperlink" Target="https://rst.fujian.gov.cn/zw/zfxxgk/zfxxgkml/zyywgz/ldgx/201806/t20180622_3359825.htm" TargetMode="External"/><Relationship Id="rId18" Type="http://schemas.openxmlformats.org/officeDocument/2006/relationships/hyperlink" Target="http://finance.people.com.cn/BIG5/n1/2018/1015/c1004-30340504.html" TargetMode="External"/><Relationship Id="rId26" Type="http://schemas.openxmlformats.org/officeDocument/2006/relationships/hyperlink" Target="https://rst.shaanxi.gov.cn/zcfg/zcfgsjk/gfxwj/shbz/201806/t20180606_3019445.html" TargetMode="External"/><Relationship Id="rId3" Type="http://schemas.openxmlformats.org/officeDocument/2006/relationships/hyperlink" Target="https://hrss.tj.gov.cn/zhengwugongkai/zhengcezhinan/zxwjnew/202012/t20201206_4492600.html" TargetMode="External"/><Relationship Id="rId21" Type="http://schemas.openxmlformats.org/officeDocument/2006/relationships/hyperlink" Target="http://news.hndaily.cn/h5/html5/2018-07/12/content_1_1.htm" TargetMode="External"/><Relationship Id="rId7" Type="http://schemas.openxmlformats.org/officeDocument/2006/relationships/hyperlink" Target="https://rst.ln.gov.cn/rst/zfxx/fdzdgknr/lzyj/rstgfxwj/lrsg/B9B40A258CB346AAB2BC1EA43239BC1F/index.shtml" TargetMode="External"/><Relationship Id="rId12" Type="http://schemas.openxmlformats.org/officeDocument/2006/relationships/hyperlink" Target="https://hrss.ah.gov.cn/csdh/ncbx/8436171.html" TargetMode="External"/><Relationship Id="rId17" Type="http://schemas.openxmlformats.org/officeDocument/2006/relationships/hyperlink" Target="http://rst.hubei.gov.cn/zfxxgk/zc/qtzdgkwj/201809/t20180929_705556.shtml" TargetMode="External"/><Relationship Id="rId25" Type="http://schemas.openxmlformats.org/officeDocument/2006/relationships/hyperlink" Target="http://hrss.xizang.gov.cn/zcfg/shbz/202101/P020210602619031829861.pdf" TargetMode="External"/><Relationship Id="rId2" Type="http://schemas.openxmlformats.org/officeDocument/2006/relationships/hyperlink" Target="https://rsj.sh.gov.cn/tshbx_17729/20200617/t0035_1389122.html" TargetMode="External"/><Relationship Id="rId16" Type="http://schemas.openxmlformats.org/officeDocument/2006/relationships/hyperlink" Target="http://finance.people.com.cn/BIG5/n1/2018/1015/c1004-30340504.html" TargetMode="External"/><Relationship Id="rId20" Type="http://schemas.openxmlformats.org/officeDocument/2006/relationships/hyperlink" Target="https://m12333.cn/policy/szpe.html" TargetMode="External"/><Relationship Id="rId29" Type="http://schemas.openxmlformats.org/officeDocument/2006/relationships/hyperlink" Target="https://hrss.nx.gov.cn/xxgk/zcj/zcfg/shbz/201808/t20180821_987979.html" TargetMode="External"/><Relationship Id="rId1" Type="http://schemas.openxmlformats.org/officeDocument/2006/relationships/hyperlink" Target="https://rsj.beijing.gov.cn/xxgk/2024zcwj/202406/t20240617_3716801.html" TargetMode="External"/><Relationship Id="rId6" Type="http://schemas.openxmlformats.org/officeDocument/2006/relationships/hyperlink" Target="http://www.liulin.gov.cn/llxxxgk/zfxxgk/zdlygk/ylfu/202105/W020210511312134059025.pdf" TargetMode="External"/><Relationship Id="rId11" Type="http://schemas.openxmlformats.org/officeDocument/2006/relationships/hyperlink" Target="https://m12333.cn/policy/mbke.html" TargetMode="External"/><Relationship Id="rId24" Type="http://schemas.openxmlformats.org/officeDocument/2006/relationships/hyperlink" Target="https://m12333.cn/policy/mbys.html" TargetMode="External"/><Relationship Id="rId5" Type="http://schemas.openxmlformats.org/officeDocument/2006/relationships/hyperlink" Target="https://www.xinji.gov.cn/app/qtwj/117148.html" TargetMode="External"/><Relationship Id="rId15" Type="http://schemas.openxmlformats.org/officeDocument/2006/relationships/hyperlink" Target="http://www.m12333.com/policy/pfmb.html" TargetMode="External"/><Relationship Id="rId23" Type="http://schemas.openxmlformats.org/officeDocument/2006/relationships/hyperlink" Target="https://www.guanshanhu.gov.cn/zwgk/zdlyxx/shbx_5780482/201901/t20190116_64475957.html" TargetMode="External"/><Relationship Id="rId28" Type="http://schemas.openxmlformats.org/officeDocument/2006/relationships/hyperlink" Target="http://finance.people.com.cn/BIG5/n1/2018/1015/c1004-30340504.html" TargetMode="External"/><Relationship Id="rId10" Type="http://schemas.openxmlformats.org/officeDocument/2006/relationships/hyperlink" Target="https://jshrss.jiangsu.gov.cn/art/2019/3/27/art_77277_9079844.html" TargetMode="External"/><Relationship Id="rId19" Type="http://schemas.openxmlformats.org/officeDocument/2006/relationships/hyperlink" Target="https://www.gd.gov.cn/zwgk/gongbao/2018/30/content/post_3366079.html" TargetMode="External"/><Relationship Id="rId31" Type="http://schemas.openxmlformats.org/officeDocument/2006/relationships/hyperlink" Target="https://m12333.cn/policy/mbyw.html" TargetMode="External"/><Relationship Id="rId4" Type="http://schemas.openxmlformats.org/officeDocument/2006/relationships/hyperlink" Target="https://rlsbj.cq.gov.cn/ywzl/shbx/zczs/202006/t20200604_7541826.html" TargetMode="External"/><Relationship Id="rId9" Type="http://schemas.openxmlformats.org/officeDocument/2006/relationships/hyperlink" Target="https://www.hlj.gov.cn/hlj/c108006/201801/c00_30645128.shtml" TargetMode="External"/><Relationship Id="rId14" Type="http://schemas.openxmlformats.org/officeDocument/2006/relationships/hyperlink" Target="http://finance.people.com.cn/BIG5/n1/2018/1015/c1004-30340504.html" TargetMode="External"/><Relationship Id="rId22" Type="http://schemas.openxmlformats.org/officeDocument/2006/relationships/hyperlink" Target="https://www.sc.gov.cn/10462/10464/10797/2018/11/28/10463781.shtml" TargetMode="External"/><Relationship Id="rId27" Type="http://schemas.openxmlformats.org/officeDocument/2006/relationships/hyperlink" Target="http://gansu.gscn.com.cn/system/2018/09/06/012011339.shtml" TargetMode="External"/><Relationship Id="rId30" Type="http://schemas.openxmlformats.org/officeDocument/2006/relationships/hyperlink" Target="http://finance.people.com.cn/BIG5/n1/2018/1015/c1004-30340504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s.gov.cn/sj/ndsj/2018/indexch.ht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12333.cn/policy/iupp.html" TargetMode="External"/><Relationship Id="rId13" Type="http://schemas.openxmlformats.org/officeDocument/2006/relationships/hyperlink" Target="https://rshj.yantai.gov.cn/art/2018/10/8/art_23318_1969670.html" TargetMode="External"/><Relationship Id="rId18" Type="http://schemas.openxmlformats.org/officeDocument/2006/relationships/hyperlink" Target="https://ssw.gxrb.com.cn/html/html5/2018/07/31/201807311916088259.html" TargetMode="External"/><Relationship Id="rId26" Type="http://schemas.openxmlformats.org/officeDocument/2006/relationships/hyperlink" Target="https://www.nmg.gov.cn/ztzl/suiygk/rlzyhshbzt_27125/202112/P020211215417880696668.pdf" TargetMode="External"/><Relationship Id="rId3" Type="http://schemas.openxmlformats.org/officeDocument/2006/relationships/hyperlink" Target="https://rsj.sh.gov.cn/tbmts_17501/20200617/t0035_1373258.html" TargetMode="External"/><Relationship Id="rId21" Type="http://schemas.openxmlformats.org/officeDocument/2006/relationships/hyperlink" Target="https://www.sxshbzj.cn/newstyle/pub_newsshow.asp?chid=100056&amp;id=29013733" TargetMode="External"/><Relationship Id="rId7" Type="http://schemas.openxmlformats.org/officeDocument/2006/relationships/hyperlink" Target="https://jl.cri.cn/2018-01-18/590fc3af-2906-4302-783c-a8c3266dbb94.html" TargetMode="External"/><Relationship Id="rId12" Type="http://schemas.openxmlformats.org/officeDocument/2006/relationships/hyperlink" Target="https://rsj.jiujiang.gov.cn/zwzx_211/gggs/201801/t20180102_2631328.html" TargetMode="External"/><Relationship Id="rId17" Type="http://schemas.openxmlformats.org/officeDocument/2006/relationships/hyperlink" Target="https://guangdong.chinatax.gov.cn/gdsw/qysw_tzgg/2018-07/13/content_71b70ee42e6a44e48623f177dc846c6d.shtml" TargetMode="External"/><Relationship Id="rId25" Type="http://schemas.openxmlformats.org/officeDocument/2006/relationships/hyperlink" Target="https://www.ts.cn/xwzx/shxw/201807/t20180723_6309204.shtml" TargetMode="External"/><Relationship Id="rId2" Type="http://schemas.openxmlformats.org/officeDocument/2006/relationships/hyperlink" Target="https://hrss.tj.gov.cn/zhengwugongkai/zhengcezhinan/zxwjnew/202012/t20201206_4492401.html" TargetMode="External"/><Relationship Id="rId16" Type="http://schemas.openxmlformats.org/officeDocument/2006/relationships/hyperlink" Target="https://www.huaihua.gov.cn/rsj/c108772/201804/28e7559457644873a415aa20e8fa58d2.shtml" TargetMode="External"/><Relationship Id="rId20" Type="http://schemas.openxmlformats.org/officeDocument/2006/relationships/hyperlink" Target="https://www.sc.gov.cn/10462/10464/10465/10595/2018/5/22/10451423.shtml" TargetMode="External"/><Relationship Id="rId29" Type="http://schemas.openxmlformats.org/officeDocument/2006/relationships/hyperlink" Target="https://rst.guizhou.gov.cn/zwgk/jdhy/zcwj/201807/t20180726_63492835.html" TargetMode="External"/><Relationship Id="rId1" Type="http://schemas.openxmlformats.org/officeDocument/2006/relationships/hyperlink" Target="https://rsj.beijing.gov.cn/xxgk/tzgg/201912/t20191207_953372.html" TargetMode="External"/><Relationship Id="rId6" Type="http://schemas.openxmlformats.org/officeDocument/2006/relationships/hyperlink" Target="https://rst.ln.gov.cn/rst/zcjd/E1C8D30BCE794FC1ABED5CCC47C27FCF/" TargetMode="External"/><Relationship Id="rId11" Type="http://schemas.openxmlformats.org/officeDocument/2006/relationships/hyperlink" Target="https://www.putian.gov.cn/ggfwpt/shbz/shbx/zcjjd/201810/t20181025_1247844.htm" TargetMode="External"/><Relationship Id="rId24" Type="http://schemas.openxmlformats.org/officeDocument/2006/relationships/hyperlink" Target="https://hrss.nx.gov.cn/xxgk/zcj/zcfg/shbz/201807/t20180716_908824.html" TargetMode="External"/><Relationship Id="rId5" Type="http://schemas.openxmlformats.org/officeDocument/2006/relationships/hyperlink" Target="https://m.thepaper.cn/newsDetail_forward_2169034" TargetMode="External"/><Relationship Id="rId15" Type="http://schemas.openxmlformats.org/officeDocument/2006/relationships/hyperlink" Target="https://m12333.cn/policy/mwiu.html" TargetMode="External"/><Relationship Id="rId23" Type="http://schemas.openxmlformats.org/officeDocument/2006/relationships/hyperlink" Target="https://www.toutiao.com/group/6571881575233880583/" TargetMode="External"/><Relationship Id="rId28" Type="http://schemas.openxmlformats.org/officeDocument/2006/relationships/hyperlink" Target="https://www.imfic.com.cn/sh/74169.html" TargetMode="External"/><Relationship Id="rId10" Type="http://schemas.openxmlformats.org/officeDocument/2006/relationships/hyperlink" Target="https://hrss.ah.gov.cn/wtjd/ylbxian/8394246.html" TargetMode="External"/><Relationship Id="rId19" Type="http://schemas.openxmlformats.org/officeDocument/2006/relationships/hyperlink" Target="https://www.haikou.gov.cn/zxfw/smfw/sb/shbx/shbxgxgl/201806/t335907.shtml" TargetMode="External"/><Relationship Id="rId31" Type="http://schemas.openxmlformats.org/officeDocument/2006/relationships/hyperlink" Target="https://www.xizang.gov.cn/xwzx_406/dsdt/201812/t20181217_25466.html" TargetMode="External"/><Relationship Id="rId4" Type="http://schemas.openxmlformats.org/officeDocument/2006/relationships/hyperlink" Target="https://rlsbj.cq.gov.cn/ywzl/shbx/zczs/202006/t20200604_7541618.html" TargetMode="External"/><Relationship Id="rId9" Type="http://schemas.openxmlformats.org/officeDocument/2006/relationships/hyperlink" Target="https://www.sohu.com/a/239078859_648787" TargetMode="External"/><Relationship Id="rId14" Type="http://schemas.openxmlformats.org/officeDocument/2006/relationships/hyperlink" Target="https://www.mohrss.gov.cn/SYrlzyhshbzb/dongtaixinwen/dfdt/gzdt/201811/t20181107_304370.html" TargetMode="External"/><Relationship Id="rId22" Type="http://schemas.openxmlformats.org/officeDocument/2006/relationships/hyperlink" Target="https://m12333.cn/policy/pyf.html" TargetMode="External"/><Relationship Id="rId27" Type="http://schemas.openxmlformats.org/officeDocument/2006/relationships/hyperlink" Target="https://www.clxzf.gov.cn/single/23/4999.html" TargetMode="External"/><Relationship Id="rId30" Type="http://schemas.openxmlformats.org/officeDocument/2006/relationships/hyperlink" Target="https://www.yuxi.gov.cn/gg/20180611/9136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92AA-9437-485A-868A-9DCE678EBC74}">
  <dimension ref="A1:I21"/>
  <sheetViews>
    <sheetView workbookViewId="0">
      <selection activeCell="C26" sqref="C26"/>
    </sheetView>
  </sheetViews>
  <sheetFormatPr defaultRowHeight="13.9" x14ac:dyDescent="0.4"/>
  <sheetData>
    <row r="1" spans="1:9" x14ac:dyDescent="0.4">
      <c r="A1" t="s">
        <v>40</v>
      </c>
    </row>
    <row r="2" spans="1:9" x14ac:dyDescent="0.4">
      <c r="A2" t="s">
        <v>33</v>
      </c>
      <c r="I2" t="s">
        <v>38</v>
      </c>
    </row>
    <row r="3" spans="1:9" x14ac:dyDescent="0.4">
      <c r="A3" t="s">
        <v>34</v>
      </c>
      <c r="I3" s="2" t="s">
        <v>39</v>
      </c>
    </row>
    <row r="4" spans="1:9" x14ac:dyDescent="0.4">
      <c r="A4" t="s">
        <v>35</v>
      </c>
    </row>
    <row r="5" spans="1:9" x14ac:dyDescent="0.4">
      <c r="A5" t="s">
        <v>47</v>
      </c>
    </row>
    <row r="6" spans="1:9" x14ac:dyDescent="0.4">
      <c r="A6" t="s">
        <v>36</v>
      </c>
    </row>
    <row r="7" spans="1:9" x14ac:dyDescent="0.4">
      <c r="A7" t="s">
        <v>37</v>
      </c>
    </row>
    <row r="8" spans="1:9" x14ac:dyDescent="0.4">
      <c r="A8" t="s">
        <v>260</v>
      </c>
    </row>
    <row r="11" spans="1:9" x14ac:dyDescent="0.4">
      <c r="A11" t="s">
        <v>32</v>
      </c>
      <c r="I11" t="s">
        <v>45</v>
      </c>
    </row>
    <row r="12" spans="1:9" x14ac:dyDescent="0.4">
      <c r="A12" t="s">
        <v>44</v>
      </c>
      <c r="I12" s="2" t="s">
        <v>46</v>
      </c>
    </row>
    <row r="13" spans="1:9" x14ac:dyDescent="0.4">
      <c r="A13" t="s">
        <v>41</v>
      </c>
    </row>
    <row r="14" spans="1:9" x14ac:dyDescent="0.4">
      <c r="A14" t="s">
        <v>42</v>
      </c>
    </row>
    <row r="15" spans="1:9" x14ac:dyDescent="0.4">
      <c r="A15" t="s">
        <v>43</v>
      </c>
    </row>
    <row r="16" spans="1:9" x14ac:dyDescent="0.4">
      <c r="A16" t="s">
        <v>259</v>
      </c>
    </row>
    <row r="17" spans="1:1" x14ac:dyDescent="0.4">
      <c r="A17" t="s">
        <v>48</v>
      </c>
    </row>
    <row r="18" spans="1:1" x14ac:dyDescent="0.4">
      <c r="A18" t="s">
        <v>49</v>
      </c>
    </row>
    <row r="20" spans="1:1" x14ac:dyDescent="0.4">
      <c r="A20" t="s">
        <v>258</v>
      </c>
    </row>
    <row r="21" spans="1:1" x14ac:dyDescent="0.4">
      <c r="A21" t="s">
        <v>72</v>
      </c>
    </row>
  </sheetData>
  <phoneticPr fontId="1" type="noConversion"/>
  <hyperlinks>
    <hyperlink ref="I3" r:id="rId1" xr:uid="{C843FE52-D197-4C9D-8AD3-66E3140C57F5}"/>
    <hyperlink ref="I12" r:id="rId2" display="https://www.gov.cn/zhengce/content/2014-02/26/content_8656.htm?eqid=f375af3000092861000000066458c78b&amp;f_link_type=f_linkinlinenote&amp;flow_extra=eyJpbmxpbmVfZGlzcGxheV9wb3NpdGlvbiI6MCwiZG9jX3Bvc2l0aW9uIjowLCJkb2NfaWQiOiJhNDhhZGNjZDFlOTE1YzlmLWUxMGQ2ZWEzNmMyNTI2YzkifQ%3D%3D" xr:uid="{E585A092-C952-4429-9A07-8E6465C0AA7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F3E1-DC9D-4CBD-BF11-084B615F4830}">
  <dimension ref="A1:T32"/>
  <sheetViews>
    <sheetView tabSelected="1" workbookViewId="0">
      <selection activeCell="A15" sqref="A15"/>
    </sheetView>
  </sheetViews>
  <sheetFormatPr defaultRowHeight="13.9" x14ac:dyDescent="0.4"/>
  <cols>
    <col min="1" max="1" width="16.9296875" bestFit="1" customWidth="1"/>
    <col min="2" max="2" width="14.86328125" bestFit="1" customWidth="1"/>
    <col min="3" max="3" width="16.9296875" bestFit="1" customWidth="1"/>
    <col min="4" max="4" width="16.9296875" customWidth="1"/>
    <col min="5" max="6" width="21" bestFit="1" customWidth="1"/>
    <col min="7" max="7" width="16.9296875" bestFit="1" customWidth="1"/>
    <col min="8" max="8" width="8.796875" bestFit="1" customWidth="1"/>
    <col min="9" max="10" width="21" bestFit="1" customWidth="1"/>
    <col min="11" max="12" width="21" customWidth="1"/>
    <col min="13" max="13" width="33.33203125" bestFit="1" customWidth="1"/>
    <col min="14" max="14" width="16.9296875" bestFit="1" customWidth="1"/>
    <col min="15" max="15" width="43.53125" bestFit="1" customWidth="1"/>
  </cols>
  <sheetData>
    <row r="1" spans="1:20" x14ac:dyDescent="0.4">
      <c r="A1" s="1" t="s">
        <v>57</v>
      </c>
      <c r="B1" t="s">
        <v>31</v>
      </c>
      <c r="C1" t="s">
        <v>63</v>
      </c>
      <c r="D1" t="s">
        <v>61</v>
      </c>
      <c r="E1" t="s">
        <v>65</v>
      </c>
      <c r="F1" t="s">
        <v>64</v>
      </c>
      <c r="G1" t="s">
        <v>59</v>
      </c>
      <c r="H1" t="s">
        <v>50</v>
      </c>
      <c r="I1" t="s">
        <v>66</v>
      </c>
      <c r="J1" t="s">
        <v>67</v>
      </c>
      <c r="L1" t="s">
        <v>69</v>
      </c>
      <c r="M1" t="s">
        <v>56</v>
      </c>
      <c r="N1" t="s">
        <v>51</v>
      </c>
      <c r="O1" t="s">
        <v>74</v>
      </c>
      <c r="Q1" s="14"/>
      <c r="R1" s="14"/>
      <c r="S1" s="14"/>
      <c r="T1" s="14"/>
    </row>
    <row r="2" spans="1:20" x14ac:dyDescent="0.4">
      <c r="A2" s="1" t="s">
        <v>0</v>
      </c>
      <c r="B2" s="6">
        <v>131700</v>
      </c>
      <c r="C2" s="3">
        <v>0.4</v>
      </c>
      <c r="D2" s="3">
        <v>1</v>
      </c>
      <c r="E2" s="4">
        <f>B2*C2</f>
        <v>52680</v>
      </c>
      <c r="F2" s="4">
        <f>B2*D2</f>
        <v>131700</v>
      </c>
      <c r="G2" t="s">
        <v>241</v>
      </c>
      <c r="H2" s="13">
        <v>0.2</v>
      </c>
      <c r="I2" s="5">
        <f>E2*H2</f>
        <v>10536</v>
      </c>
      <c r="J2" s="5">
        <f>F2*H2</f>
        <v>26340</v>
      </c>
      <c r="K2" s="5"/>
      <c r="L2" s="11" t="s">
        <v>70</v>
      </c>
      <c r="M2" s="11" t="s">
        <v>76</v>
      </c>
      <c r="N2">
        <v>8460</v>
      </c>
      <c r="O2">
        <v>940</v>
      </c>
      <c r="Q2" s="15"/>
      <c r="R2" s="15"/>
      <c r="S2" s="15"/>
      <c r="T2" s="14"/>
    </row>
    <row r="3" spans="1:20" x14ac:dyDescent="0.4">
      <c r="A3" s="1" t="s">
        <v>1</v>
      </c>
      <c r="B3" s="6">
        <v>94534</v>
      </c>
      <c r="C3" s="3">
        <v>0.6</v>
      </c>
      <c r="D3" s="3">
        <v>1</v>
      </c>
      <c r="E3" s="4">
        <f t="shared" ref="E3:E32" si="0">B3*C3</f>
        <v>56720.4</v>
      </c>
      <c r="F3" s="4">
        <f t="shared" ref="F3:F32" si="1">B3*D3</f>
        <v>94534</v>
      </c>
      <c r="G3" t="s">
        <v>242</v>
      </c>
      <c r="H3" s="13">
        <v>0.2</v>
      </c>
      <c r="I3" s="5">
        <f t="shared" ref="I3:I32" si="2">E3*H3</f>
        <v>11344.080000000002</v>
      </c>
      <c r="J3" s="5">
        <f t="shared" ref="J3:J32" si="3">F3*H3</f>
        <v>18906.8</v>
      </c>
      <c r="K3" s="5"/>
      <c r="L3" s="11" t="s">
        <v>71</v>
      </c>
      <c r="M3" s="11" t="s">
        <v>78</v>
      </c>
      <c r="N3">
        <v>3540</v>
      </c>
      <c r="O3">
        <v>540</v>
      </c>
      <c r="Q3" s="15"/>
      <c r="R3" s="15"/>
      <c r="S3" s="15"/>
      <c r="T3" s="14"/>
    </row>
    <row r="4" spans="1:20" x14ac:dyDescent="0.4">
      <c r="A4" s="1" t="s">
        <v>30</v>
      </c>
      <c r="B4" s="6">
        <v>63036</v>
      </c>
      <c r="C4" s="3">
        <v>0.6</v>
      </c>
      <c r="D4" s="3">
        <v>3</v>
      </c>
      <c r="E4" s="4">
        <f t="shared" si="0"/>
        <v>37821.599999999999</v>
      </c>
      <c r="F4" s="4">
        <f t="shared" si="1"/>
        <v>189108</v>
      </c>
      <c r="G4" t="s">
        <v>73</v>
      </c>
      <c r="H4" s="13">
        <v>0.2</v>
      </c>
      <c r="I4" s="5">
        <f t="shared" si="2"/>
        <v>7564.32</v>
      </c>
      <c r="J4" s="5">
        <f t="shared" si="3"/>
        <v>37821.599999999999</v>
      </c>
      <c r="K4" s="5"/>
      <c r="L4" s="11" t="s">
        <v>71</v>
      </c>
      <c r="M4" s="11" t="s">
        <v>115</v>
      </c>
      <c r="N4">
        <v>1296</v>
      </c>
      <c r="O4">
        <v>70</v>
      </c>
      <c r="Q4" s="15"/>
      <c r="R4" s="15"/>
      <c r="S4" s="15"/>
      <c r="T4" s="14"/>
    </row>
    <row r="5" spans="1:20" x14ac:dyDescent="0.4">
      <c r="A5" s="1" t="s">
        <v>2</v>
      </c>
      <c r="B5" s="6">
        <v>60061</v>
      </c>
      <c r="C5" s="3">
        <v>0.6</v>
      </c>
      <c r="D5" s="3">
        <v>1</v>
      </c>
      <c r="E5" s="4">
        <f t="shared" si="0"/>
        <v>36036.6</v>
      </c>
      <c r="F5" s="4">
        <f t="shared" si="1"/>
        <v>60061</v>
      </c>
      <c r="G5" t="s">
        <v>243</v>
      </c>
      <c r="H5" s="13">
        <v>0.2</v>
      </c>
      <c r="I5" s="5">
        <f t="shared" si="2"/>
        <v>7207.32</v>
      </c>
      <c r="J5" s="5">
        <f t="shared" si="3"/>
        <v>12012.2</v>
      </c>
      <c r="K5" s="5"/>
      <c r="L5" s="11" t="s">
        <v>71</v>
      </c>
      <c r="M5" s="11" t="s">
        <v>117</v>
      </c>
      <c r="N5">
        <v>1020</v>
      </c>
      <c r="O5">
        <v>70</v>
      </c>
      <c r="Q5" s="15"/>
      <c r="R5" s="15"/>
      <c r="S5" s="15"/>
      <c r="T5" s="14"/>
    </row>
    <row r="6" spans="1:20" x14ac:dyDescent="0.4">
      <c r="A6" s="1" t="s">
        <v>3</v>
      </c>
      <c r="B6" s="6">
        <v>66679</v>
      </c>
      <c r="C6" s="3">
        <v>0.6</v>
      </c>
      <c r="D6" s="3">
        <v>3</v>
      </c>
      <c r="E6" s="4">
        <f t="shared" si="0"/>
        <v>40007.4</v>
      </c>
      <c r="F6" s="4">
        <f t="shared" si="1"/>
        <v>200037</v>
      </c>
      <c r="G6" t="s">
        <v>244</v>
      </c>
      <c r="H6" s="13">
        <v>0.2</v>
      </c>
      <c r="I6" s="5">
        <f t="shared" si="2"/>
        <v>8001.4800000000005</v>
      </c>
      <c r="J6" s="5">
        <f t="shared" si="3"/>
        <v>40007.4</v>
      </c>
      <c r="K6" s="5"/>
      <c r="L6" s="11" t="s">
        <v>71</v>
      </c>
      <c r="M6" s="11" t="s">
        <v>81</v>
      </c>
      <c r="N6">
        <v>1536</v>
      </c>
      <c r="O6">
        <v>70</v>
      </c>
      <c r="Q6" s="15"/>
      <c r="R6" s="15"/>
      <c r="S6" s="15"/>
      <c r="T6" s="14"/>
    </row>
    <row r="7" spans="1:20" x14ac:dyDescent="0.4">
      <c r="A7" s="1" t="s">
        <v>4</v>
      </c>
      <c r="B7" s="6">
        <v>61153</v>
      </c>
      <c r="C7" s="3">
        <v>0.6</v>
      </c>
      <c r="D7" s="3">
        <v>3</v>
      </c>
      <c r="E7" s="4">
        <f t="shared" si="0"/>
        <v>36691.799999999996</v>
      </c>
      <c r="F7" s="4">
        <f t="shared" si="1"/>
        <v>183459</v>
      </c>
      <c r="G7" t="s">
        <v>245</v>
      </c>
      <c r="H7" s="13">
        <v>0.2</v>
      </c>
      <c r="I7" s="5">
        <f t="shared" si="2"/>
        <v>7338.36</v>
      </c>
      <c r="J7" s="5">
        <f t="shared" si="3"/>
        <v>36691.800000000003</v>
      </c>
      <c r="K7" s="5"/>
      <c r="L7" s="11" t="s">
        <v>71</v>
      </c>
      <c r="M7" s="11" t="s">
        <v>83</v>
      </c>
      <c r="N7">
        <v>1296</v>
      </c>
      <c r="O7">
        <v>70</v>
      </c>
      <c r="Q7" s="15"/>
      <c r="R7" s="15"/>
      <c r="S7" s="15"/>
      <c r="T7" s="14"/>
    </row>
    <row r="8" spans="1:20" x14ac:dyDescent="0.4">
      <c r="A8" s="1" t="s">
        <v>5</v>
      </c>
      <c r="B8" s="6">
        <v>61451</v>
      </c>
      <c r="C8" s="3">
        <v>0.6</v>
      </c>
      <c r="D8" s="3">
        <v>1.2</v>
      </c>
      <c r="E8" s="4">
        <f t="shared" si="0"/>
        <v>36870.6</v>
      </c>
      <c r="F8" s="4">
        <f t="shared" si="1"/>
        <v>73741.2</v>
      </c>
      <c r="G8" t="s">
        <v>246</v>
      </c>
      <c r="H8" s="13">
        <v>0.2</v>
      </c>
      <c r="I8" s="5">
        <f t="shared" si="2"/>
        <v>7374.12</v>
      </c>
      <c r="J8" s="5">
        <f t="shared" si="3"/>
        <v>14748.24</v>
      </c>
      <c r="K8" s="5"/>
      <c r="L8" s="11" t="s">
        <v>71</v>
      </c>
      <c r="M8" s="11" t="s">
        <v>119</v>
      </c>
      <c r="N8">
        <v>1236</v>
      </c>
      <c r="O8">
        <v>70</v>
      </c>
      <c r="Q8" s="15"/>
      <c r="R8" s="15"/>
      <c r="S8" s="15"/>
      <c r="T8" s="14"/>
    </row>
    <row r="9" spans="1:20" x14ac:dyDescent="0.4">
      <c r="A9" s="1" t="s">
        <v>6</v>
      </c>
      <c r="B9" s="6">
        <v>56067</v>
      </c>
      <c r="C9" s="3">
        <v>0.6</v>
      </c>
      <c r="D9" s="3">
        <v>3</v>
      </c>
      <c r="E9" s="4">
        <f t="shared" si="0"/>
        <v>33640.199999999997</v>
      </c>
      <c r="F9" s="4">
        <f t="shared" si="1"/>
        <v>168201</v>
      </c>
      <c r="G9" t="s">
        <v>247</v>
      </c>
      <c r="H9" s="13">
        <v>0.2</v>
      </c>
      <c r="I9" s="5">
        <f t="shared" si="2"/>
        <v>6728.04</v>
      </c>
      <c r="J9" s="5">
        <f t="shared" si="3"/>
        <v>33640.200000000004</v>
      </c>
      <c r="K9" s="5"/>
      <c r="L9" s="11" t="s">
        <v>71</v>
      </c>
      <c r="M9" s="11" t="s">
        <v>121</v>
      </c>
      <c r="N9">
        <v>1080</v>
      </c>
      <c r="O9">
        <v>70</v>
      </c>
      <c r="Q9" s="15"/>
      <c r="R9" s="15"/>
      <c r="S9" s="15"/>
      <c r="T9" s="14"/>
    </row>
    <row r="10" spans="1:20" x14ac:dyDescent="0.4">
      <c r="A10" s="1" t="s">
        <v>7</v>
      </c>
      <c r="B10" s="6">
        <v>129795</v>
      </c>
      <c r="C10" s="3">
        <v>0.6</v>
      </c>
      <c r="D10" s="3">
        <v>3</v>
      </c>
      <c r="E10" s="4">
        <f t="shared" si="0"/>
        <v>77877</v>
      </c>
      <c r="F10" s="4">
        <f t="shared" si="1"/>
        <v>389385</v>
      </c>
      <c r="G10" t="s">
        <v>73</v>
      </c>
      <c r="H10" s="13">
        <v>0.28000000000000003</v>
      </c>
      <c r="I10" s="5">
        <f t="shared" si="2"/>
        <v>21805.56</v>
      </c>
      <c r="J10" s="5">
        <f t="shared" si="3"/>
        <v>109027.80000000002</v>
      </c>
      <c r="K10" s="5"/>
      <c r="L10" s="11" t="s">
        <v>71</v>
      </c>
      <c r="M10" s="11" t="s">
        <v>86</v>
      </c>
      <c r="N10">
        <v>11160</v>
      </c>
      <c r="O10">
        <v>300</v>
      </c>
      <c r="Q10" s="15"/>
      <c r="R10" s="15"/>
      <c r="S10" s="15"/>
      <c r="T10" s="14"/>
    </row>
    <row r="11" spans="1:20" s="19" customFormat="1" x14ac:dyDescent="0.4">
      <c r="A11" s="16" t="s">
        <v>8</v>
      </c>
      <c r="B11" s="17">
        <v>78267</v>
      </c>
      <c r="C11" s="3">
        <v>0.6</v>
      </c>
      <c r="D11" s="3">
        <v>3</v>
      </c>
      <c r="E11" s="18">
        <f t="shared" si="0"/>
        <v>46960.2</v>
      </c>
      <c r="F11" s="18">
        <v>202104</v>
      </c>
      <c r="G11" t="s">
        <v>73</v>
      </c>
      <c r="H11" s="13">
        <v>0.2</v>
      </c>
      <c r="I11" s="20">
        <f t="shared" si="2"/>
        <v>9392.0399999999991</v>
      </c>
      <c r="J11" s="20">
        <f t="shared" si="3"/>
        <v>40420.800000000003</v>
      </c>
      <c r="K11" s="20"/>
      <c r="L11" s="11" t="s">
        <v>71</v>
      </c>
      <c r="M11" s="11" t="s">
        <v>88</v>
      </c>
      <c r="N11" s="19">
        <v>1620</v>
      </c>
      <c r="O11" s="19">
        <v>70</v>
      </c>
      <c r="Q11" s="15"/>
      <c r="R11" s="15"/>
      <c r="S11" s="15"/>
      <c r="T11" s="14"/>
    </row>
    <row r="12" spans="1:20" x14ac:dyDescent="0.4">
      <c r="A12" s="1" t="s">
        <v>9</v>
      </c>
      <c r="B12" s="6">
        <v>80750</v>
      </c>
      <c r="C12" s="3">
        <v>0.8</v>
      </c>
      <c r="D12" s="3">
        <v>3</v>
      </c>
      <c r="E12" s="4">
        <f t="shared" si="0"/>
        <v>64600</v>
      </c>
      <c r="F12" s="4">
        <f t="shared" si="1"/>
        <v>242250</v>
      </c>
      <c r="G12" t="s">
        <v>248</v>
      </c>
      <c r="H12" s="13">
        <v>0.18</v>
      </c>
      <c r="I12" s="5">
        <f t="shared" si="2"/>
        <v>11628</v>
      </c>
      <c r="J12" s="5">
        <f t="shared" si="3"/>
        <v>43605</v>
      </c>
      <c r="K12" s="5"/>
      <c r="L12" s="11" t="s">
        <v>257</v>
      </c>
      <c r="M12" s="11" t="s">
        <v>123</v>
      </c>
      <c r="N12">
        <v>1860</v>
      </c>
      <c r="O12">
        <v>50</v>
      </c>
      <c r="Q12" s="15"/>
      <c r="R12" s="15"/>
      <c r="S12" s="15"/>
      <c r="T12" s="14"/>
    </row>
    <row r="13" spans="1:20" x14ac:dyDescent="0.4">
      <c r="A13" s="1" t="s">
        <v>10</v>
      </c>
      <c r="B13" s="6">
        <v>65150</v>
      </c>
      <c r="C13" s="3">
        <v>0.6</v>
      </c>
      <c r="D13" s="3">
        <v>1</v>
      </c>
      <c r="E13" s="4">
        <f t="shared" si="0"/>
        <v>39090</v>
      </c>
      <c r="F13" s="4">
        <f t="shared" si="1"/>
        <v>65150</v>
      </c>
      <c r="G13" t="s">
        <v>73</v>
      </c>
      <c r="H13" s="13">
        <v>0.2</v>
      </c>
      <c r="I13" s="5">
        <f t="shared" si="2"/>
        <v>7818</v>
      </c>
      <c r="J13" s="5">
        <f t="shared" si="3"/>
        <v>13030</v>
      </c>
      <c r="K13" s="5"/>
      <c r="L13" s="11" t="s">
        <v>71</v>
      </c>
      <c r="M13" s="11" t="s">
        <v>124</v>
      </c>
      <c r="N13">
        <v>1056</v>
      </c>
      <c r="O13">
        <v>165</v>
      </c>
      <c r="Q13" s="15"/>
      <c r="R13" s="15"/>
      <c r="S13" s="15"/>
      <c r="T13" s="14"/>
    </row>
    <row r="14" spans="1:20" x14ac:dyDescent="0.4">
      <c r="A14" s="1" t="s">
        <v>11</v>
      </c>
      <c r="B14" s="6">
        <v>67420</v>
      </c>
      <c r="C14" s="3">
        <v>0.6</v>
      </c>
      <c r="D14" s="3">
        <v>3</v>
      </c>
      <c r="E14" s="4">
        <f t="shared" si="0"/>
        <v>40452</v>
      </c>
      <c r="F14" s="4">
        <f t="shared" si="1"/>
        <v>202260</v>
      </c>
      <c r="G14" t="s">
        <v>73</v>
      </c>
      <c r="H14" s="13">
        <v>0.2</v>
      </c>
      <c r="I14" s="5">
        <f t="shared" si="2"/>
        <v>8090.4000000000005</v>
      </c>
      <c r="J14" s="5">
        <f t="shared" si="3"/>
        <v>40452</v>
      </c>
      <c r="K14" s="5"/>
      <c r="L14" s="11" t="s">
        <v>71</v>
      </c>
      <c r="M14" s="11" t="s">
        <v>92</v>
      </c>
      <c r="N14">
        <v>1416</v>
      </c>
      <c r="O14">
        <v>70</v>
      </c>
      <c r="Q14" s="15"/>
      <c r="R14" s="15"/>
      <c r="S14" s="15"/>
      <c r="T14" s="14"/>
    </row>
    <row r="15" spans="1:20" x14ac:dyDescent="0.4">
      <c r="A15" s="1" t="s">
        <v>12</v>
      </c>
      <c r="B15" s="6">
        <v>61429</v>
      </c>
      <c r="C15" s="3">
        <v>0.6</v>
      </c>
      <c r="D15" s="3">
        <v>3</v>
      </c>
      <c r="E15" s="4">
        <f t="shared" si="0"/>
        <v>36857.4</v>
      </c>
      <c r="F15" s="4">
        <f t="shared" si="1"/>
        <v>184287</v>
      </c>
      <c r="G15" t="s">
        <v>249</v>
      </c>
      <c r="H15" s="13">
        <v>0.2</v>
      </c>
      <c r="I15" s="5">
        <f t="shared" si="2"/>
        <v>7371.4800000000005</v>
      </c>
      <c r="J15" s="5">
        <f t="shared" si="3"/>
        <v>36857.4</v>
      </c>
      <c r="K15" s="5"/>
      <c r="L15" s="11" t="s">
        <v>71</v>
      </c>
      <c r="M15" s="11" t="s">
        <v>94</v>
      </c>
      <c r="N15">
        <v>1260</v>
      </c>
      <c r="O15">
        <v>260</v>
      </c>
      <c r="Q15" s="15"/>
      <c r="R15" s="15"/>
      <c r="S15" s="15"/>
      <c r="T15" s="14"/>
    </row>
    <row r="16" spans="1:20" x14ac:dyDescent="0.4">
      <c r="A16" s="1" t="s">
        <v>13</v>
      </c>
      <c r="B16" s="6">
        <v>68081</v>
      </c>
      <c r="C16" s="3">
        <v>0.6</v>
      </c>
      <c r="D16" s="3">
        <v>1</v>
      </c>
      <c r="E16" s="4">
        <f t="shared" si="0"/>
        <v>40848.6</v>
      </c>
      <c r="F16" s="4">
        <f t="shared" si="1"/>
        <v>68081</v>
      </c>
      <c r="G16" t="s">
        <v>243</v>
      </c>
      <c r="H16" s="13">
        <v>0.2</v>
      </c>
      <c r="I16" s="5">
        <f t="shared" si="2"/>
        <v>8169.72</v>
      </c>
      <c r="J16" s="5">
        <f t="shared" si="3"/>
        <v>13616.2</v>
      </c>
      <c r="K16" s="5"/>
      <c r="L16" s="11" t="s">
        <v>71</v>
      </c>
      <c r="M16" s="11" t="s">
        <v>126</v>
      </c>
      <c r="N16">
        <v>1416</v>
      </c>
      <c r="O16">
        <v>70</v>
      </c>
      <c r="Q16" s="15"/>
      <c r="R16" s="15"/>
      <c r="S16" s="15"/>
      <c r="T16" s="14"/>
    </row>
    <row r="17" spans="1:20" x14ac:dyDescent="0.4">
      <c r="A17" s="1" t="s">
        <v>14</v>
      </c>
      <c r="B17" s="6">
        <v>55495</v>
      </c>
      <c r="C17" s="3">
        <v>0.6</v>
      </c>
      <c r="D17" s="3">
        <v>3</v>
      </c>
      <c r="E17" s="4">
        <f t="shared" si="0"/>
        <v>33297</v>
      </c>
      <c r="F17" s="4">
        <f t="shared" si="1"/>
        <v>166485</v>
      </c>
      <c r="G17" t="s">
        <v>73</v>
      </c>
      <c r="H17" s="13">
        <v>0.2</v>
      </c>
      <c r="I17" s="5">
        <f t="shared" si="2"/>
        <v>6659.4000000000005</v>
      </c>
      <c r="J17" s="5">
        <f t="shared" si="3"/>
        <v>33297</v>
      </c>
      <c r="K17" s="5"/>
      <c r="L17" s="11" t="s">
        <v>71</v>
      </c>
      <c r="M17" s="11" t="s">
        <v>96</v>
      </c>
      <c r="N17">
        <v>1176</v>
      </c>
      <c r="O17">
        <v>170</v>
      </c>
      <c r="Q17" s="15"/>
      <c r="R17" s="15"/>
      <c r="S17" s="15"/>
      <c r="T17" s="14"/>
    </row>
    <row r="18" spans="1:20" x14ac:dyDescent="0.4">
      <c r="A18" s="1" t="s">
        <v>15</v>
      </c>
      <c r="B18" s="6">
        <v>65912</v>
      </c>
      <c r="C18" s="3">
        <v>0.6</v>
      </c>
      <c r="D18" s="3">
        <v>3</v>
      </c>
      <c r="E18" s="4">
        <f t="shared" si="0"/>
        <v>39547.199999999997</v>
      </c>
      <c r="F18" s="4">
        <f t="shared" si="1"/>
        <v>197736</v>
      </c>
      <c r="G18" t="s">
        <v>247</v>
      </c>
      <c r="H18" s="13">
        <v>0.2</v>
      </c>
      <c r="I18" s="5">
        <f t="shared" si="2"/>
        <v>7909.44</v>
      </c>
      <c r="J18" s="5">
        <f t="shared" si="3"/>
        <v>39547.200000000004</v>
      </c>
      <c r="K18" s="5"/>
      <c r="L18" s="11" t="s">
        <v>71</v>
      </c>
      <c r="M18" s="11" t="s">
        <v>139</v>
      </c>
      <c r="N18">
        <v>1236</v>
      </c>
      <c r="O18">
        <v>70</v>
      </c>
      <c r="Q18" s="15"/>
      <c r="R18" s="15"/>
      <c r="S18" s="15"/>
      <c r="T18" s="14"/>
    </row>
    <row r="19" spans="1:20" x14ac:dyDescent="0.4">
      <c r="A19" s="1" t="s">
        <v>16</v>
      </c>
      <c r="B19" s="6">
        <v>63690</v>
      </c>
      <c r="C19" s="3">
        <v>0.6</v>
      </c>
      <c r="D19" s="3">
        <v>1</v>
      </c>
      <c r="E19" s="4">
        <f t="shared" si="0"/>
        <v>38214</v>
      </c>
      <c r="F19" s="4">
        <f t="shared" si="1"/>
        <v>63690</v>
      </c>
      <c r="G19" t="s">
        <v>243</v>
      </c>
      <c r="H19" s="13">
        <v>0.2</v>
      </c>
      <c r="I19" s="5">
        <f t="shared" si="2"/>
        <v>7642.8</v>
      </c>
      <c r="J19" s="5">
        <f t="shared" si="3"/>
        <v>12738</v>
      </c>
      <c r="K19" s="5"/>
      <c r="L19" s="11" t="s">
        <v>71</v>
      </c>
      <c r="M19" s="11" t="s">
        <v>141</v>
      </c>
      <c r="N19">
        <v>1236</v>
      </c>
      <c r="O19">
        <v>70</v>
      </c>
      <c r="Q19" s="15"/>
      <c r="R19" s="15"/>
      <c r="S19" s="15"/>
      <c r="T19" s="14"/>
    </row>
    <row r="20" spans="1:20" x14ac:dyDescent="0.4">
      <c r="A20" s="1" t="s">
        <v>17</v>
      </c>
      <c r="B20" s="6">
        <v>79183</v>
      </c>
      <c r="C20" s="3">
        <v>0.6</v>
      </c>
      <c r="D20" s="3">
        <v>3</v>
      </c>
      <c r="E20" s="4">
        <f t="shared" si="0"/>
        <v>47509.799999999996</v>
      </c>
      <c r="F20" s="4">
        <f t="shared" si="1"/>
        <v>237549</v>
      </c>
      <c r="G20" t="s">
        <v>73</v>
      </c>
      <c r="H20" s="13">
        <v>0.2</v>
      </c>
      <c r="I20" s="5">
        <f t="shared" si="2"/>
        <v>9501.9599999999991</v>
      </c>
      <c r="J20" s="5">
        <f t="shared" si="3"/>
        <v>47509.8</v>
      </c>
      <c r="K20" s="5"/>
      <c r="L20" s="11" t="s">
        <v>71</v>
      </c>
      <c r="M20" s="11" t="s">
        <v>127</v>
      </c>
      <c r="N20">
        <v>1776</v>
      </c>
      <c r="O20">
        <v>20</v>
      </c>
      <c r="Q20" s="15"/>
      <c r="R20" s="15"/>
      <c r="S20" s="15"/>
      <c r="T20" s="14"/>
    </row>
    <row r="21" spans="1:20" x14ac:dyDescent="0.4">
      <c r="A21" s="1" t="s">
        <v>18</v>
      </c>
      <c r="B21" s="6">
        <v>63821</v>
      </c>
      <c r="C21" s="3">
        <v>0.6</v>
      </c>
      <c r="D21" s="3">
        <v>3</v>
      </c>
      <c r="E21" s="4">
        <f t="shared" si="0"/>
        <v>38292.6</v>
      </c>
      <c r="F21" s="4">
        <f t="shared" si="1"/>
        <v>191463</v>
      </c>
      <c r="G21" t="s">
        <v>244</v>
      </c>
      <c r="H21" s="13">
        <v>0.2</v>
      </c>
      <c r="I21" s="5">
        <f t="shared" si="2"/>
        <v>7658.52</v>
      </c>
      <c r="J21" s="5">
        <f t="shared" si="3"/>
        <v>38292.6</v>
      </c>
      <c r="K21" s="5"/>
      <c r="L21" s="11" t="s">
        <v>71</v>
      </c>
      <c r="M21" s="11" t="s">
        <v>99</v>
      </c>
      <c r="N21">
        <v>1392</v>
      </c>
      <c r="O21">
        <v>70</v>
      </c>
      <c r="Q21" s="15"/>
      <c r="R21" s="15"/>
      <c r="S21" s="15"/>
      <c r="T21" s="14"/>
    </row>
    <row r="22" spans="1:20" x14ac:dyDescent="0.4">
      <c r="A22" s="1" t="s">
        <v>19</v>
      </c>
      <c r="B22" s="6">
        <v>67727</v>
      </c>
      <c r="C22" s="3">
        <v>0.6</v>
      </c>
      <c r="D22" s="3">
        <v>3</v>
      </c>
      <c r="E22" s="4">
        <f t="shared" si="0"/>
        <v>40636.199999999997</v>
      </c>
      <c r="F22" s="4">
        <f t="shared" si="1"/>
        <v>203181</v>
      </c>
      <c r="G22" t="s">
        <v>73</v>
      </c>
      <c r="H22" s="13">
        <v>0.2</v>
      </c>
      <c r="I22" s="5">
        <f t="shared" si="2"/>
        <v>8127.24</v>
      </c>
      <c r="J22" s="5">
        <f t="shared" si="3"/>
        <v>40636.200000000004</v>
      </c>
      <c r="K22" s="5"/>
      <c r="L22" s="11" t="s">
        <v>71</v>
      </c>
      <c r="M22" s="11" t="s">
        <v>128</v>
      </c>
      <c r="N22">
        <v>2136</v>
      </c>
      <c r="O22">
        <v>160</v>
      </c>
      <c r="Q22" s="15"/>
      <c r="R22" s="15"/>
      <c r="S22" s="15"/>
      <c r="T22" s="14"/>
    </row>
    <row r="23" spans="1:20" x14ac:dyDescent="0.4">
      <c r="A23" s="1" t="s">
        <v>20</v>
      </c>
      <c r="B23" s="6">
        <v>70889</v>
      </c>
      <c r="C23" s="3">
        <v>0.6</v>
      </c>
      <c r="D23" s="3">
        <v>1</v>
      </c>
      <c r="E23" s="4">
        <f t="shared" si="0"/>
        <v>42533.4</v>
      </c>
      <c r="F23" s="4">
        <f t="shared" si="1"/>
        <v>70889</v>
      </c>
      <c r="G23" t="s">
        <v>250</v>
      </c>
      <c r="H23" s="13">
        <v>0.2</v>
      </c>
      <c r="I23" s="5">
        <f t="shared" si="2"/>
        <v>8506.68</v>
      </c>
      <c r="J23" s="5">
        <f t="shared" si="3"/>
        <v>14177.800000000001</v>
      </c>
      <c r="K23" s="5"/>
      <c r="L23" s="11" t="s">
        <v>71</v>
      </c>
      <c r="M23" s="11" t="s">
        <v>130</v>
      </c>
      <c r="N23">
        <v>1380</v>
      </c>
      <c r="O23">
        <v>70</v>
      </c>
      <c r="Q23" s="15"/>
      <c r="R23" s="15"/>
      <c r="S23" s="15"/>
      <c r="T23" s="14"/>
    </row>
    <row r="24" spans="1:20" x14ac:dyDescent="0.4">
      <c r="A24" s="1" t="s">
        <v>21</v>
      </c>
      <c r="B24" s="6">
        <v>69419</v>
      </c>
      <c r="C24" s="3">
        <v>0.4</v>
      </c>
      <c r="D24" s="3">
        <v>1</v>
      </c>
      <c r="E24" s="4">
        <f t="shared" si="0"/>
        <v>27767.600000000002</v>
      </c>
      <c r="F24" s="4">
        <f t="shared" si="1"/>
        <v>69419</v>
      </c>
      <c r="G24" t="s">
        <v>251</v>
      </c>
      <c r="H24" s="13">
        <v>0.2</v>
      </c>
      <c r="I24" s="5">
        <f t="shared" si="2"/>
        <v>5553.52</v>
      </c>
      <c r="J24" s="5">
        <f t="shared" si="3"/>
        <v>13883.800000000001</v>
      </c>
      <c r="K24" s="5"/>
      <c r="L24" s="11" t="s">
        <v>71</v>
      </c>
      <c r="M24" s="11" t="s">
        <v>102</v>
      </c>
      <c r="N24">
        <v>1200</v>
      </c>
      <c r="O24">
        <v>60</v>
      </c>
      <c r="Q24" s="15"/>
      <c r="R24" s="15"/>
      <c r="S24" s="15"/>
      <c r="T24" s="14"/>
    </row>
    <row r="25" spans="1:20" x14ac:dyDescent="0.4">
      <c r="A25" s="1" t="s">
        <v>22</v>
      </c>
      <c r="B25" s="6">
        <v>71795</v>
      </c>
      <c r="C25" s="3">
        <v>0.6</v>
      </c>
      <c r="D25" s="3">
        <v>3</v>
      </c>
      <c r="E25" s="4">
        <f t="shared" si="0"/>
        <v>43077</v>
      </c>
      <c r="F25" s="4">
        <f t="shared" si="1"/>
        <v>215385</v>
      </c>
      <c r="G25" t="s">
        <v>73</v>
      </c>
      <c r="H25" s="13">
        <v>0.2</v>
      </c>
      <c r="I25" s="5">
        <f t="shared" si="2"/>
        <v>8615.4</v>
      </c>
      <c r="J25" s="5">
        <f t="shared" si="3"/>
        <v>43077</v>
      </c>
      <c r="K25" s="5"/>
      <c r="L25" s="11" t="s">
        <v>71</v>
      </c>
      <c r="M25" s="11" t="s">
        <v>104</v>
      </c>
      <c r="N25">
        <v>1116</v>
      </c>
      <c r="O25">
        <v>70</v>
      </c>
      <c r="Q25" s="15"/>
      <c r="R25" s="15"/>
      <c r="S25" s="15"/>
      <c r="T25" s="14"/>
    </row>
    <row r="26" spans="1:20" x14ac:dyDescent="0.4">
      <c r="A26" s="1" t="s">
        <v>23</v>
      </c>
      <c r="B26" s="6">
        <v>69106</v>
      </c>
      <c r="C26" s="3">
        <v>0.4</v>
      </c>
      <c r="D26" s="3">
        <v>1</v>
      </c>
      <c r="E26" s="4">
        <f t="shared" si="0"/>
        <v>27642.400000000001</v>
      </c>
      <c r="F26" s="4">
        <f t="shared" si="1"/>
        <v>69106</v>
      </c>
      <c r="G26" t="s">
        <v>241</v>
      </c>
      <c r="H26" s="13">
        <v>0.2</v>
      </c>
      <c r="I26" s="5">
        <f t="shared" si="2"/>
        <v>5528.4800000000005</v>
      </c>
      <c r="J26" s="5">
        <f t="shared" si="3"/>
        <v>13821.2</v>
      </c>
      <c r="K26" s="5"/>
      <c r="L26" s="11" t="s">
        <v>71</v>
      </c>
      <c r="M26" s="11" t="s">
        <v>133</v>
      </c>
      <c r="N26">
        <v>1236</v>
      </c>
      <c r="O26">
        <v>90</v>
      </c>
      <c r="Q26" s="15"/>
      <c r="R26" s="15"/>
      <c r="S26" s="15"/>
      <c r="T26" s="14"/>
    </row>
    <row r="27" spans="1:20" x14ac:dyDescent="0.4">
      <c r="A27" s="1" t="s">
        <v>24</v>
      </c>
      <c r="B27" s="6">
        <v>108817</v>
      </c>
      <c r="C27" s="3">
        <v>1</v>
      </c>
      <c r="D27" s="3">
        <v>1</v>
      </c>
      <c r="E27" s="4">
        <f t="shared" si="0"/>
        <v>108817</v>
      </c>
      <c r="F27" s="4">
        <f t="shared" si="1"/>
        <v>108817</v>
      </c>
      <c r="G27" t="s">
        <v>252</v>
      </c>
      <c r="H27" s="13">
        <v>0.2</v>
      </c>
      <c r="I27" s="5">
        <f t="shared" si="2"/>
        <v>21763.4</v>
      </c>
      <c r="J27" s="5">
        <f t="shared" si="3"/>
        <v>21763.4</v>
      </c>
      <c r="K27" s="5"/>
      <c r="L27" s="11" t="s">
        <v>71</v>
      </c>
      <c r="M27" s="11" t="s">
        <v>134</v>
      </c>
      <c r="N27">
        <v>2040</v>
      </c>
      <c r="O27">
        <v>60</v>
      </c>
      <c r="Q27" s="15"/>
      <c r="R27" s="15"/>
      <c r="S27" s="15"/>
      <c r="T27" s="14"/>
    </row>
    <row r="28" spans="1:20" x14ac:dyDescent="0.4">
      <c r="A28" s="1" t="s">
        <v>25</v>
      </c>
      <c r="B28" s="6">
        <v>65181</v>
      </c>
      <c r="C28" s="3">
        <v>0.4</v>
      </c>
      <c r="D28" s="3">
        <v>1</v>
      </c>
      <c r="E28" s="4">
        <f t="shared" si="0"/>
        <v>26072.400000000001</v>
      </c>
      <c r="F28" s="4">
        <f t="shared" si="1"/>
        <v>65181</v>
      </c>
      <c r="G28" t="s">
        <v>253</v>
      </c>
      <c r="H28" s="13">
        <v>0.2</v>
      </c>
      <c r="I28" s="5">
        <f t="shared" si="2"/>
        <v>5214.4800000000005</v>
      </c>
      <c r="J28" s="5">
        <f t="shared" si="3"/>
        <v>13036.2</v>
      </c>
      <c r="K28" s="5"/>
      <c r="L28" s="11" t="s">
        <v>71</v>
      </c>
      <c r="M28" s="11" t="s">
        <v>107</v>
      </c>
      <c r="N28">
        <v>1236</v>
      </c>
      <c r="O28">
        <v>70</v>
      </c>
      <c r="Q28" s="15"/>
      <c r="R28" s="15"/>
      <c r="S28" s="15"/>
      <c r="T28" s="14"/>
    </row>
    <row r="29" spans="1:20" x14ac:dyDescent="0.4">
      <c r="A29" s="1" t="s">
        <v>26</v>
      </c>
      <c r="B29" s="6">
        <v>63374</v>
      </c>
      <c r="C29" s="3">
        <v>0.6</v>
      </c>
      <c r="D29" s="3">
        <v>3</v>
      </c>
      <c r="E29" s="4">
        <f t="shared" si="0"/>
        <v>38024.400000000001</v>
      </c>
      <c r="F29" s="4">
        <f t="shared" si="1"/>
        <v>190122</v>
      </c>
      <c r="G29" t="s">
        <v>73</v>
      </c>
      <c r="H29" s="13">
        <v>0.2</v>
      </c>
      <c r="I29" s="5">
        <f t="shared" si="2"/>
        <v>7604.880000000001</v>
      </c>
      <c r="J29" s="5">
        <f t="shared" si="3"/>
        <v>38024.400000000001</v>
      </c>
      <c r="K29" s="5"/>
      <c r="L29" s="11" t="s">
        <v>71</v>
      </c>
      <c r="M29" s="11" t="s">
        <v>109</v>
      </c>
      <c r="N29">
        <v>1236</v>
      </c>
      <c r="O29">
        <v>70</v>
      </c>
      <c r="Q29" s="15"/>
      <c r="R29" s="15"/>
      <c r="S29" s="15"/>
      <c r="T29" s="14"/>
    </row>
    <row r="30" spans="1:20" x14ac:dyDescent="0.4">
      <c r="A30" s="1" t="s">
        <v>27</v>
      </c>
      <c r="B30" s="6">
        <v>75701</v>
      </c>
      <c r="C30" s="3">
        <v>0.6</v>
      </c>
      <c r="D30" s="3">
        <v>1</v>
      </c>
      <c r="E30" s="4">
        <f t="shared" si="0"/>
        <v>45420.6</v>
      </c>
      <c r="F30" s="4">
        <f t="shared" si="1"/>
        <v>75701</v>
      </c>
      <c r="G30" t="s">
        <v>254</v>
      </c>
      <c r="H30" s="13">
        <v>0.2</v>
      </c>
      <c r="I30" s="5">
        <f t="shared" si="2"/>
        <v>9084.1200000000008</v>
      </c>
      <c r="J30" s="5">
        <f t="shared" si="3"/>
        <v>15140.2</v>
      </c>
      <c r="K30" s="5"/>
      <c r="L30" s="11" t="s">
        <v>71</v>
      </c>
      <c r="M30" s="11" t="s">
        <v>136</v>
      </c>
      <c r="N30">
        <v>2100</v>
      </c>
      <c r="O30">
        <v>70</v>
      </c>
      <c r="Q30" s="15"/>
      <c r="R30" s="15"/>
      <c r="S30" s="15"/>
      <c r="T30" s="14"/>
    </row>
    <row r="31" spans="1:20" x14ac:dyDescent="0.4">
      <c r="A31" s="1" t="s">
        <v>28</v>
      </c>
      <c r="B31" s="6">
        <v>70298</v>
      </c>
      <c r="C31" s="3">
        <v>0.5</v>
      </c>
      <c r="D31" s="3">
        <v>1</v>
      </c>
      <c r="E31" s="4">
        <f t="shared" si="0"/>
        <v>35149</v>
      </c>
      <c r="F31" s="4">
        <f t="shared" si="1"/>
        <v>70298</v>
      </c>
      <c r="G31" t="s">
        <v>255</v>
      </c>
      <c r="H31" s="13">
        <v>0.2</v>
      </c>
      <c r="I31" s="5">
        <f t="shared" si="2"/>
        <v>7029.8</v>
      </c>
      <c r="J31" s="5">
        <f t="shared" si="3"/>
        <v>14059.6</v>
      </c>
      <c r="K31" s="5"/>
      <c r="L31" s="11" t="s">
        <v>71</v>
      </c>
      <c r="M31" s="11" t="s">
        <v>111</v>
      </c>
      <c r="N31">
        <v>1680</v>
      </c>
      <c r="O31">
        <v>70</v>
      </c>
      <c r="Q31" s="15"/>
      <c r="R31" s="15"/>
      <c r="S31" s="15"/>
      <c r="T31" s="14"/>
    </row>
    <row r="32" spans="1:20" x14ac:dyDescent="0.4">
      <c r="A32" s="1" t="s">
        <v>29</v>
      </c>
      <c r="B32" s="6">
        <v>67932</v>
      </c>
      <c r="C32" s="3">
        <v>0.5</v>
      </c>
      <c r="D32" s="3">
        <v>1</v>
      </c>
      <c r="E32" s="4">
        <f t="shared" si="0"/>
        <v>33966</v>
      </c>
      <c r="F32" s="4">
        <f t="shared" si="1"/>
        <v>67932</v>
      </c>
      <c r="G32" t="s">
        <v>256</v>
      </c>
      <c r="H32" s="13">
        <v>0.2</v>
      </c>
      <c r="I32" s="5">
        <f t="shared" si="2"/>
        <v>6793.2000000000007</v>
      </c>
      <c r="J32" s="5">
        <f t="shared" si="3"/>
        <v>13586.400000000001</v>
      </c>
      <c r="K32" s="5"/>
      <c r="L32" s="11" t="s">
        <v>71</v>
      </c>
      <c r="M32" s="11" t="s">
        <v>113</v>
      </c>
      <c r="N32">
        <v>1680</v>
      </c>
      <c r="O32">
        <v>95</v>
      </c>
      <c r="Q32" s="15"/>
      <c r="R32" s="15"/>
      <c r="S32" s="15"/>
      <c r="T32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F69C-5879-4B87-B8FD-5681FA47F640}">
  <dimension ref="A1:G34"/>
  <sheetViews>
    <sheetView workbookViewId="0">
      <selection activeCell="C2" sqref="C2"/>
    </sheetView>
  </sheetViews>
  <sheetFormatPr defaultRowHeight="13.9" x14ac:dyDescent="0.4"/>
  <cols>
    <col min="1" max="1" width="16.9296875" bestFit="1" customWidth="1"/>
    <col min="5" max="5" width="16.9296875" bestFit="1" customWidth="1"/>
    <col min="6" max="6" width="38.3984375" bestFit="1" customWidth="1"/>
  </cols>
  <sheetData>
    <row r="1" spans="1:7" x14ac:dyDescent="0.4">
      <c r="A1" s="9" t="s">
        <v>75</v>
      </c>
      <c r="B1" s="9" t="s">
        <v>68</v>
      </c>
      <c r="C1" s="9" t="s">
        <v>55</v>
      </c>
      <c r="D1" s="9" t="s">
        <v>53</v>
      </c>
      <c r="E1" s="9"/>
      <c r="F1" s="9"/>
      <c r="G1" s="9"/>
    </row>
    <row r="2" spans="1:7" x14ac:dyDescent="0.4">
      <c r="A2" s="11" t="s">
        <v>0</v>
      </c>
      <c r="B2" s="11" t="s">
        <v>70</v>
      </c>
      <c r="C2" s="11" t="s">
        <v>76</v>
      </c>
      <c r="D2" s="12" t="s">
        <v>77</v>
      </c>
      <c r="E2" s="11"/>
      <c r="F2" s="11"/>
      <c r="G2" s="12"/>
    </row>
    <row r="3" spans="1:7" x14ac:dyDescent="0.4">
      <c r="A3" s="11" t="s">
        <v>1</v>
      </c>
      <c r="B3" s="11" t="s">
        <v>71</v>
      </c>
      <c r="C3" s="11" t="s">
        <v>78</v>
      </c>
      <c r="D3" s="12" t="s">
        <v>79</v>
      </c>
      <c r="E3" s="11"/>
      <c r="F3" s="11"/>
      <c r="G3" s="12"/>
    </row>
    <row r="4" spans="1:7" x14ac:dyDescent="0.4">
      <c r="A4" s="11" t="s">
        <v>54</v>
      </c>
      <c r="B4" s="11" t="s">
        <v>71</v>
      </c>
      <c r="C4" s="11" t="s">
        <v>115</v>
      </c>
      <c r="D4" s="12" t="s">
        <v>80</v>
      </c>
      <c r="E4" s="11"/>
      <c r="F4" s="11"/>
      <c r="G4" s="12"/>
    </row>
    <row r="5" spans="1:7" x14ac:dyDescent="0.4">
      <c r="A5" s="11" t="s">
        <v>2</v>
      </c>
      <c r="B5" s="11" t="s">
        <v>71</v>
      </c>
      <c r="C5" s="11" t="s">
        <v>117</v>
      </c>
      <c r="D5" s="12" t="s">
        <v>116</v>
      </c>
      <c r="E5" s="11"/>
      <c r="F5" s="11"/>
      <c r="G5" s="12"/>
    </row>
    <row r="6" spans="1:7" x14ac:dyDescent="0.4">
      <c r="A6" s="11" t="s">
        <v>3</v>
      </c>
      <c r="B6" s="11" t="s">
        <v>71</v>
      </c>
      <c r="C6" s="11" t="s">
        <v>81</v>
      </c>
      <c r="D6" s="12" t="s">
        <v>82</v>
      </c>
      <c r="E6" s="11"/>
      <c r="F6" s="11"/>
      <c r="G6" s="12"/>
    </row>
    <row r="7" spans="1:7" x14ac:dyDescent="0.4">
      <c r="A7" s="11" t="s">
        <v>4</v>
      </c>
      <c r="B7" s="11" t="s">
        <v>71</v>
      </c>
      <c r="C7" s="11" t="s">
        <v>83</v>
      </c>
      <c r="D7" s="12" t="s">
        <v>84</v>
      </c>
      <c r="E7" s="11"/>
      <c r="F7" s="11"/>
      <c r="G7" s="12"/>
    </row>
    <row r="8" spans="1:7" x14ac:dyDescent="0.4">
      <c r="A8" s="11" t="s">
        <v>5</v>
      </c>
      <c r="B8" s="11" t="s">
        <v>71</v>
      </c>
      <c r="C8" s="11" t="s">
        <v>119</v>
      </c>
      <c r="D8" s="12" t="s">
        <v>118</v>
      </c>
      <c r="E8" s="11"/>
      <c r="F8" s="11"/>
      <c r="G8" s="12"/>
    </row>
    <row r="9" spans="1:7" x14ac:dyDescent="0.4">
      <c r="A9" s="11" t="s">
        <v>6</v>
      </c>
      <c r="B9" s="11" t="s">
        <v>71</v>
      </c>
      <c r="C9" s="11" t="s">
        <v>121</v>
      </c>
      <c r="D9" s="12" t="s">
        <v>120</v>
      </c>
      <c r="E9" s="11"/>
      <c r="F9" s="11"/>
      <c r="G9" s="12"/>
    </row>
    <row r="10" spans="1:7" x14ac:dyDescent="0.4">
      <c r="A10" s="11" t="s">
        <v>7</v>
      </c>
      <c r="B10" s="11" t="s">
        <v>71</v>
      </c>
      <c r="C10" s="11" t="s">
        <v>86</v>
      </c>
      <c r="D10" s="12" t="s">
        <v>87</v>
      </c>
      <c r="E10" s="11"/>
      <c r="F10" s="11"/>
      <c r="G10" s="12"/>
    </row>
    <row r="11" spans="1:7" x14ac:dyDescent="0.4">
      <c r="A11" s="11" t="s">
        <v>8</v>
      </c>
      <c r="B11" s="11" t="s">
        <v>71</v>
      </c>
      <c r="C11" s="11" t="s">
        <v>88</v>
      </c>
      <c r="D11" s="12" t="s">
        <v>89</v>
      </c>
      <c r="E11" s="11"/>
      <c r="F11" s="11"/>
      <c r="G11" s="12"/>
    </row>
    <row r="12" spans="1:7" x14ac:dyDescent="0.4">
      <c r="A12" s="11" t="s">
        <v>9</v>
      </c>
      <c r="B12" s="11" t="s">
        <v>90</v>
      </c>
      <c r="C12" s="11" t="s">
        <v>123</v>
      </c>
      <c r="D12" s="12" t="s">
        <v>122</v>
      </c>
      <c r="E12" s="11"/>
      <c r="F12" s="11"/>
      <c r="G12" s="12"/>
    </row>
    <row r="13" spans="1:7" x14ac:dyDescent="0.4">
      <c r="A13" s="11" t="s">
        <v>10</v>
      </c>
      <c r="B13" s="11" t="s">
        <v>71</v>
      </c>
      <c r="C13" s="11" t="s">
        <v>124</v>
      </c>
      <c r="D13" s="12" t="s">
        <v>91</v>
      </c>
      <c r="E13" s="11"/>
      <c r="F13" s="11"/>
      <c r="G13" s="12"/>
    </row>
    <row r="14" spans="1:7" x14ac:dyDescent="0.4">
      <c r="A14" s="11" t="s">
        <v>11</v>
      </c>
      <c r="B14" s="11" t="s">
        <v>71</v>
      </c>
      <c r="C14" s="11" t="s">
        <v>92</v>
      </c>
      <c r="D14" s="12" t="s">
        <v>93</v>
      </c>
      <c r="E14" s="11"/>
      <c r="F14" s="11"/>
      <c r="G14" s="12"/>
    </row>
    <row r="15" spans="1:7" x14ac:dyDescent="0.4">
      <c r="A15" s="11" t="s">
        <v>12</v>
      </c>
      <c r="B15" s="11" t="s">
        <v>71</v>
      </c>
      <c r="C15" s="11" t="s">
        <v>94</v>
      </c>
      <c r="D15" s="12" t="s">
        <v>125</v>
      </c>
      <c r="E15" s="11"/>
      <c r="F15" s="11"/>
      <c r="G15" s="12"/>
    </row>
    <row r="16" spans="1:7" x14ac:dyDescent="0.4">
      <c r="A16" s="11" t="s">
        <v>13</v>
      </c>
      <c r="B16" s="11" t="s">
        <v>71</v>
      </c>
      <c r="C16" s="11" t="s">
        <v>126</v>
      </c>
      <c r="D16" s="12" t="s">
        <v>95</v>
      </c>
      <c r="E16" s="11"/>
      <c r="F16" s="11"/>
      <c r="G16" s="12"/>
    </row>
    <row r="17" spans="1:7" x14ac:dyDescent="0.4">
      <c r="A17" s="11" t="s">
        <v>14</v>
      </c>
      <c r="B17" s="11" t="s">
        <v>71</v>
      </c>
      <c r="C17" s="11" t="s">
        <v>96</v>
      </c>
      <c r="D17" s="12" t="s">
        <v>97</v>
      </c>
      <c r="E17" s="11"/>
      <c r="F17" s="11"/>
      <c r="G17" s="12"/>
    </row>
    <row r="18" spans="1:7" x14ac:dyDescent="0.4">
      <c r="A18" s="11" t="s">
        <v>137</v>
      </c>
      <c r="B18" s="11" t="s">
        <v>71</v>
      </c>
      <c r="C18" s="11" t="s">
        <v>139</v>
      </c>
      <c r="D18" s="12" t="s">
        <v>140</v>
      </c>
      <c r="E18" s="11"/>
      <c r="F18" s="11"/>
      <c r="G18" s="12"/>
    </row>
    <row r="19" spans="1:7" x14ac:dyDescent="0.4">
      <c r="A19" s="11" t="s">
        <v>138</v>
      </c>
      <c r="B19" s="11" t="s">
        <v>71</v>
      </c>
      <c r="C19" s="11" t="s">
        <v>141</v>
      </c>
      <c r="D19" s="12" t="s">
        <v>142</v>
      </c>
      <c r="E19" s="11"/>
      <c r="F19" s="11"/>
      <c r="G19" s="12"/>
    </row>
    <row r="20" spans="1:7" x14ac:dyDescent="0.4">
      <c r="A20" s="11" t="s">
        <v>17</v>
      </c>
      <c r="B20" s="11" t="s">
        <v>71</v>
      </c>
      <c r="C20" s="11" t="s">
        <v>127</v>
      </c>
      <c r="D20" s="12" t="s">
        <v>98</v>
      </c>
      <c r="E20" s="11"/>
      <c r="F20" s="11"/>
      <c r="G20" s="12"/>
    </row>
    <row r="21" spans="1:7" x14ac:dyDescent="0.4">
      <c r="A21" s="11" t="s">
        <v>18</v>
      </c>
      <c r="B21" s="11" t="s">
        <v>71</v>
      </c>
      <c r="C21" s="11" t="s">
        <v>99</v>
      </c>
      <c r="D21" s="12" t="s">
        <v>100</v>
      </c>
      <c r="E21" s="11"/>
      <c r="F21" s="11"/>
      <c r="G21" s="12"/>
    </row>
    <row r="22" spans="1:7" x14ac:dyDescent="0.4">
      <c r="A22" s="11" t="s">
        <v>19</v>
      </c>
      <c r="B22" s="11" t="s">
        <v>71</v>
      </c>
      <c r="C22" s="11" t="s">
        <v>128</v>
      </c>
      <c r="D22" s="12" t="s">
        <v>129</v>
      </c>
      <c r="E22" s="11"/>
      <c r="F22" s="11"/>
      <c r="G22" s="12"/>
    </row>
    <row r="23" spans="1:7" x14ac:dyDescent="0.4">
      <c r="A23" s="11" t="s">
        <v>20</v>
      </c>
      <c r="B23" s="11" t="s">
        <v>71</v>
      </c>
      <c r="C23" s="11" t="s">
        <v>130</v>
      </c>
      <c r="D23" s="12" t="s">
        <v>131</v>
      </c>
      <c r="E23" s="11"/>
      <c r="F23" s="11"/>
      <c r="G23" s="12"/>
    </row>
    <row r="24" spans="1:7" x14ac:dyDescent="0.4">
      <c r="A24" s="11" t="s">
        <v>21</v>
      </c>
      <c r="B24" s="11" t="s">
        <v>71</v>
      </c>
      <c r="C24" s="11" t="s">
        <v>102</v>
      </c>
      <c r="D24" s="12" t="s">
        <v>103</v>
      </c>
      <c r="E24" s="11"/>
      <c r="F24" s="11"/>
      <c r="G24" s="12"/>
    </row>
    <row r="25" spans="1:7" x14ac:dyDescent="0.4">
      <c r="A25" s="11" t="s">
        <v>22</v>
      </c>
      <c r="B25" s="11" t="s">
        <v>71</v>
      </c>
      <c r="C25" s="11" t="s">
        <v>104</v>
      </c>
      <c r="D25" s="12" t="s">
        <v>105</v>
      </c>
      <c r="E25" s="11"/>
      <c r="F25" s="11"/>
      <c r="G25" s="12"/>
    </row>
    <row r="26" spans="1:7" x14ac:dyDescent="0.4">
      <c r="A26" s="11" t="s">
        <v>23</v>
      </c>
      <c r="B26" s="11" t="s">
        <v>71</v>
      </c>
      <c r="C26" s="11" t="s">
        <v>133</v>
      </c>
      <c r="D26" s="12" t="s">
        <v>132</v>
      </c>
      <c r="E26" s="11"/>
      <c r="F26" s="11"/>
      <c r="G26" s="12"/>
    </row>
    <row r="27" spans="1:7" x14ac:dyDescent="0.4">
      <c r="A27" s="11" t="s">
        <v>24</v>
      </c>
      <c r="B27" s="11" t="s">
        <v>71</v>
      </c>
      <c r="C27" s="11" t="s">
        <v>134</v>
      </c>
      <c r="D27" s="12" t="s">
        <v>106</v>
      </c>
      <c r="E27" s="11"/>
      <c r="F27" s="11"/>
      <c r="G27" s="12"/>
    </row>
    <row r="28" spans="1:7" x14ac:dyDescent="0.4">
      <c r="A28" s="11" t="s">
        <v>25</v>
      </c>
      <c r="B28" s="11" t="s">
        <v>71</v>
      </c>
      <c r="C28" s="11" t="s">
        <v>107</v>
      </c>
      <c r="D28" s="12" t="s">
        <v>108</v>
      </c>
      <c r="E28" s="11"/>
      <c r="F28" s="11"/>
      <c r="G28" s="12"/>
    </row>
    <row r="29" spans="1:7" x14ac:dyDescent="0.4">
      <c r="A29" s="11" t="s">
        <v>26</v>
      </c>
      <c r="B29" s="11" t="s">
        <v>71</v>
      </c>
      <c r="C29" s="11" t="s">
        <v>109</v>
      </c>
      <c r="D29" s="12" t="s">
        <v>110</v>
      </c>
      <c r="E29" s="11"/>
      <c r="F29" s="11"/>
      <c r="G29" s="12"/>
    </row>
    <row r="30" spans="1:7" x14ac:dyDescent="0.4">
      <c r="A30" s="11" t="s">
        <v>27</v>
      </c>
      <c r="B30" s="11" t="s">
        <v>71</v>
      </c>
      <c r="C30" s="11" t="s">
        <v>136</v>
      </c>
      <c r="D30" s="12" t="s">
        <v>135</v>
      </c>
      <c r="E30" s="11"/>
      <c r="F30" s="11"/>
      <c r="G30" s="12"/>
    </row>
    <row r="31" spans="1:7" x14ac:dyDescent="0.4">
      <c r="A31" s="11" t="s">
        <v>28</v>
      </c>
      <c r="B31" s="11" t="s">
        <v>71</v>
      </c>
      <c r="C31" s="11" t="s">
        <v>111</v>
      </c>
      <c r="D31" s="12" t="s">
        <v>112</v>
      </c>
      <c r="E31" s="11"/>
      <c r="F31" s="11"/>
      <c r="G31" s="12"/>
    </row>
    <row r="32" spans="1:7" x14ac:dyDescent="0.4">
      <c r="A32" s="11" t="s">
        <v>29</v>
      </c>
      <c r="B32" s="11" t="s">
        <v>71</v>
      </c>
      <c r="C32" s="11" t="s">
        <v>113</v>
      </c>
      <c r="D32" s="12" t="s">
        <v>114</v>
      </c>
      <c r="E32" s="11"/>
      <c r="F32" s="11"/>
      <c r="G32" s="12"/>
    </row>
    <row r="33" spans="1:4" x14ac:dyDescent="0.4">
      <c r="A33" s="10"/>
      <c r="B33" s="10"/>
      <c r="C33" s="10"/>
      <c r="D33" s="10"/>
    </row>
    <row r="34" spans="1:4" x14ac:dyDescent="0.4">
      <c r="A34" s="10"/>
      <c r="B34" s="10"/>
      <c r="C34" s="10"/>
      <c r="D34" s="10"/>
    </row>
  </sheetData>
  <phoneticPr fontId="1" type="noConversion"/>
  <hyperlinks>
    <hyperlink ref="D2" r:id="rId1" display="https://rsj.beijing.gov.cn/xxgk/2024zcwj/202406/t20240617_3716782.html" xr:uid="{C2506E98-BEF5-494C-8309-DEE5CA992F02}"/>
    <hyperlink ref="D3" r:id="rId2" display="https://www.tjhx.gov.cn/zwgk/zfxxgk/zfgbm/qrlzyhshbzj/fdzdgknr/zdmsxx/shbx/202108/t20210830_5566357.html" xr:uid="{266A2201-2495-49FE-B296-202EE63C6545}"/>
    <hyperlink ref="D4" r:id="rId3" display="http://www.wuan.gov.cn/zmhd/zcjd/201810/t20181025_1035116.html" xr:uid="{C6D1468F-E3B5-4B1F-9FA2-0193E6B2C6B2}"/>
    <hyperlink ref="D5" r:id="rId4" xr:uid="{8A355F36-7AE9-448F-AB92-053F613E7A1B}"/>
    <hyperlink ref="D6" r:id="rId5" display="http://www.kulun.gov.cn/zwgk/zfxxgk/fdzdgknr/zfwj/202307/t20230725_376966.html" xr:uid="{5CBAF59B-3161-497C-8DAE-16D2D633CA8D}"/>
    <hyperlink ref="D7" r:id="rId6" display="https://rst.ln.gov.cn/rst/zcjd/574B04CA7A934917BB711FBA0C8E31A9/index.shtml" xr:uid="{7CE7B454-5191-4056-98E3-D8F0C1B11AA4}"/>
    <hyperlink ref="D8" r:id="rId7" xr:uid="{41AF150F-D200-40CC-9D1D-F17EBF86B08E}"/>
    <hyperlink ref="D10" r:id="rId8" display="https://rsj.sh.gov.cn/tshbx_17729/20200617/t0035_1389739.html" xr:uid="{6FA6BAD2-6F96-47D9-B006-BC51EBEE7948}"/>
    <hyperlink ref="D11" r:id="rId9" display="http://xxgk.guannan.gov.cn/zdly/show-177.html" xr:uid="{16584EBE-49AC-4334-BE31-5D62CFF4D9D3}"/>
    <hyperlink ref="D13" r:id="rId10" display="https://www.yuexi.gov.cn/zwzt/yxxmsgc/zccs/2018373261.html" xr:uid="{9096D12A-2F8F-4A92-B47E-ADA056DAB4F4}"/>
    <hyperlink ref="D14" r:id="rId11" display="http://www.xianyou.gov.cn/xxgk/tzgg/201804/t20180428_1075234.htm" xr:uid="{C1E1DCCA-981A-42D7-9128-039E37C611B7}"/>
    <hyperlink ref="D16" r:id="rId12" display="http://hrss.shandong.gov.cn/articles/ch00472/201811/ce4124ab-7e59-4f3d-8e59-c6f4212bd2a1.shtml" xr:uid="{A7F69AAD-0A7C-4AF7-B6AE-34E6208BC66E}"/>
    <hyperlink ref="D17" r:id="rId13" display="https://www.mohrss.gov.cn/ncshbxs/NCSHBXSgongzuodongtai/201803/t20180308_289378.html" xr:uid="{7A2D8296-A8CF-48D6-B87F-54030B31CA6E}"/>
    <hyperlink ref="D20" r:id="rId14" display="https://www.pjq.gov.cn/gzjg/zcbm/pjqrlzyhshbzj/ztzl/sbxxgk/sbsj/content/post_1098138.html" xr:uid="{37739287-0C81-4E36-AC42-6D2A3D62EF07}"/>
    <hyperlink ref="D21" r:id="rId15" display="https://czt.gxzf.gov.cn/hdjl/shrdhy/t3551878.shtml" xr:uid="{17336119-0AE4-4249-A6D6-632E5B79979E}"/>
    <hyperlink ref="D24" r:id="rId16" display="http://www.jiajiang.gov.cn/jjx/jjbmwj/201811/a6400bdc50f242b0a914feee4834ce1e.shtml" xr:uid="{84D9F1DC-D997-4A85-8554-E6AD9CBFE15D}"/>
    <hyperlink ref="D25" r:id="rId17" display="https://www.gzqianxi.gov.cn/zwgk2022/zdzfxxgk/xzjd/hsz/tzgg_5920433/201805/t20180525_25241597.html" xr:uid="{25702D66-C098-491F-BDFA-2271CD1605CD}"/>
    <hyperlink ref="D26" r:id="rId18" xr:uid="{0D5BE0D0-2B85-4AD8-85EC-687A8106481A}"/>
    <hyperlink ref="D27" r:id="rId19" display="http://www.nqnrx.gov.cn/nqnrx/msly/202208/f4f232eb4a784393a85e8ed0520a4a32.shtml" xr:uid="{76E1BD95-E969-41CC-96E5-498F2ABF9374}"/>
    <hyperlink ref="D28" r:id="rId20" display="http://www.lantian.gov.cn/zwgk/zcwj/xzfwj/5e991476fd85080ad150f025.html" xr:uid="{C837DBAD-0F27-4D49-A9E8-8BEFC38830D9}"/>
    <hyperlink ref="D29" r:id="rId21" display="http://www.tianshui.gov.cn/info/2671/834381.htm" xr:uid="{117E131A-54D9-4D79-9244-C94F18B0A55F}"/>
    <hyperlink ref="D31" r:id="rId22" display="http://si.nx.gov.cn/xxgkai/xxgk/zcfg_1/201806/t20180629_853898.html" xr:uid="{89A234BA-1B7B-4AFD-8853-380B5CEAA8B8}"/>
    <hyperlink ref="D32" r:id="rId23" display="https://m12333.cn/policy/izm.html" xr:uid="{18FA0267-2C67-4692-8A6A-0881065154C0}"/>
    <hyperlink ref="D9" r:id="rId24" display="https://www.hlj.gov.cn/hlj/c108102/201404/c00_30644402.shtml" xr:uid="{37F5799C-E444-4696-BFFD-0FC559E8B22B}"/>
    <hyperlink ref="D12" r:id="rId25" xr:uid="{E2BD3C62-580F-48DA-BADC-944BA2941A72}"/>
    <hyperlink ref="D15" r:id="rId26" xr:uid="{57AEA3AD-8329-4E87-9FC2-A9F39A7F812D}"/>
    <hyperlink ref="D22" r:id="rId27" xr:uid="{5126969A-A65C-4F44-A20F-F295A217B5F1}"/>
    <hyperlink ref="D23" r:id="rId28" xr:uid="{1B7646AF-8F53-4038-9E4A-62471697B315}"/>
    <hyperlink ref="D30" r:id="rId29" xr:uid="{A27F332E-BCEF-49E8-93D8-7CC3CED8B8D0}"/>
    <hyperlink ref="D18" r:id="rId30" xr:uid="{6FB43588-D655-4C64-9DC8-411C4903750B}"/>
    <hyperlink ref="D19" r:id="rId31" xr:uid="{27AB0646-089F-4C18-9B21-EA1BB6145F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7130-1D68-4B22-A4DE-C5511650E468}">
  <dimension ref="A1:E32"/>
  <sheetViews>
    <sheetView workbookViewId="0">
      <selection activeCell="D2" sqref="D2:D32"/>
    </sheetView>
  </sheetViews>
  <sheetFormatPr defaultRowHeight="13.9" x14ac:dyDescent="0.4"/>
  <cols>
    <col min="1" max="1" width="16.9296875" bestFit="1" customWidth="1"/>
    <col min="2" max="2" width="38.3984375" bestFit="1" customWidth="1"/>
    <col min="3" max="3" width="25.06640625" bestFit="1" customWidth="1"/>
    <col min="4" max="4" width="25.06640625" customWidth="1"/>
  </cols>
  <sheetData>
    <row r="1" spans="1:5" x14ac:dyDescent="0.4">
      <c r="A1" s="9" t="s">
        <v>52</v>
      </c>
      <c r="B1" s="9" t="s">
        <v>144</v>
      </c>
      <c r="C1" s="9" t="s">
        <v>144</v>
      </c>
      <c r="D1" s="9" t="s">
        <v>178</v>
      </c>
      <c r="E1" s="9" t="s">
        <v>53</v>
      </c>
    </row>
    <row r="2" spans="1:5" x14ac:dyDescent="0.4">
      <c r="A2" s="11" t="s">
        <v>0</v>
      </c>
      <c r="B2" s="11" t="s">
        <v>145</v>
      </c>
      <c r="C2" s="11">
        <v>705</v>
      </c>
      <c r="D2" s="11">
        <f>C2*12</f>
        <v>8460</v>
      </c>
      <c r="E2" s="12" t="s">
        <v>146</v>
      </c>
    </row>
    <row r="3" spans="1:5" x14ac:dyDescent="0.4">
      <c r="A3" s="11" t="s">
        <v>1</v>
      </c>
      <c r="B3" s="11">
        <v>295</v>
      </c>
      <c r="C3" s="11">
        <v>295</v>
      </c>
      <c r="D3" s="11">
        <f t="shared" ref="D3:D32" si="0">C3*12</f>
        <v>3540</v>
      </c>
      <c r="E3" s="12" t="s">
        <v>148</v>
      </c>
    </row>
    <row r="4" spans="1:5" x14ac:dyDescent="0.4">
      <c r="A4" s="11" t="s">
        <v>54</v>
      </c>
      <c r="B4" s="11">
        <v>108</v>
      </c>
      <c r="C4" s="11">
        <v>108</v>
      </c>
      <c r="D4" s="11">
        <f t="shared" si="0"/>
        <v>1296</v>
      </c>
      <c r="E4" s="12" t="s">
        <v>149</v>
      </c>
    </row>
    <row r="5" spans="1:5" x14ac:dyDescent="0.4">
      <c r="A5" s="11" t="s">
        <v>2</v>
      </c>
      <c r="B5" s="11" t="s">
        <v>150</v>
      </c>
      <c r="C5" s="11">
        <v>85</v>
      </c>
      <c r="D5" s="11">
        <f t="shared" si="0"/>
        <v>1020</v>
      </c>
      <c r="E5" s="12" t="s">
        <v>151</v>
      </c>
    </row>
    <row r="6" spans="1:5" x14ac:dyDescent="0.4">
      <c r="A6" s="11" t="s">
        <v>3</v>
      </c>
      <c r="B6" s="11">
        <v>128</v>
      </c>
      <c r="C6" s="11">
        <v>128</v>
      </c>
      <c r="D6" s="11">
        <f t="shared" si="0"/>
        <v>1536</v>
      </c>
      <c r="E6" s="12" t="s">
        <v>159</v>
      </c>
    </row>
    <row r="7" spans="1:5" x14ac:dyDescent="0.4">
      <c r="A7" s="11" t="s">
        <v>4</v>
      </c>
      <c r="B7" s="11">
        <v>108</v>
      </c>
      <c r="C7" s="11">
        <v>108</v>
      </c>
      <c r="D7" s="11">
        <f t="shared" si="0"/>
        <v>1296</v>
      </c>
      <c r="E7" s="12" t="s">
        <v>152</v>
      </c>
    </row>
    <row r="8" spans="1:5" x14ac:dyDescent="0.4">
      <c r="A8" s="11" t="s">
        <v>5</v>
      </c>
      <c r="B8" s="11">
        <v>103</v>
      </c>
      <c r="C8" s="11">
        <v>103</v>
      </c>
      <c r="D8" s="11">
        <f t="shared" si="0"/>
        <v>1236</v>
      </c>
      <c r="E8" s="12" t="s">
        <v>85</v>
      </c>
    </row>
    <row r="9" spans="1:5" x14ac:dyDescent="0.4">
      <c r="A9" s="11" t="s">
        <v>6</v>
      </c>
      <c r="B9" s="11">
        <v>90</v>
      </c>
      <c r="C9" s="11">
        <v>90</v>
      </c>
      <c r="D9" s="11">
        <f t="shared" si="0"/>
        <v>1080</v>
      </c>
      <c r="E9" s="12" t="s">
        <v>153</v>
      </c>
    </row>
    <row r="10" spans="1:5" x14ac:dyDescent="0.4">
      <c r="A10" s="11" t="s">
        <v>7</v>
      </c>
      <c r="B10" s="11">
        <v>930</v>
      </c>
      <c r="C10" s="11">
        <v>930</v>
      </c>
      <c r="D10" s="11">
        <f t="shared" si="0"/>
        <v>11160</v>
      </c>
      <c r="E10" s="12" t="s">
        <v>147</v>
      </c>
    </row>
    <row r="11" spans="1:5" x14ac:dyDescent="0.4">
      <c r="A11" s="11" t="s">
        <v>8</v>
      </c>
      <c r="B11" s="11">
        <v>135</v>
      </c>
      <c r="C11" s="11">
        <v>135</v>
      </c>
      <c r="D11" s="11">
        <f t="shared" si="0"/>
        <v>1620</v>
      </c>
      <c r="E11" s="12" t="s">
        <v>154</v>
      </c>
    </row>
    <row r="12" spans="1:5" x14ac:dyDescent="0.4">
      <c r="A12" s="11" t="s">
        <v>9</v>
      </c>
      <c r="B12" s="11">
        <v>155</v>
      </c>
      <c r="C12" s="11">
        <v>155</v>
      </c>
      <c r="D12" s="11">
        <f t="shared" si="0"/>
        <v>1860</v>
      </c>
      <c r="E12" s="12" t="s">
        <v>155</v>
      </c>
    </row>
    <row r="13" spans="1:5" x14ac:dyDescent="0.4">
      <c r="A13" s="11" t="s">
        <v>10</v>
      </c>
      <c r="B13" s="11" t="s">
        <v>156</v>
      </c>
      <c r="C13" s="11">
        <v>88</v>
      </c>
      <c r="D13" s="11">
        <f t="shared" si="0"/>
        <v>1056</v>
      </c>
      <c r="E13" s="12" t="s">
        <v>157</v>
      </c>
    </row>
    <row r="14" spans="1:5" x14ac:dyDescent="0.4">
      <c r="A14" s="11" t="s">
        <v>11</v>
      </c>
      <c r="B14" s="11">
        <v>118</v>
      </c>
      <c r="C14" s="11">
        <v>118</v>
      </c>
      <c r="D14" s="11">
        <f t="shared" si="0"/>
        <v>1416</v>
      </c>
      <c r="E14" s="12" t="s">
        <v>158</v>
      </c>
    </row>
    <row r="15" spans="1:5" x14ac:dyDescent="0.4">
      <c r="A15" s="11" t="s">
        <v>12</v>
      </c>
      <c r="B15" s="11">
        <v>105</v>
      </c>
      <c r="C15" s="11">
        <v>105</v>
      </c>
      <c r="D15" s="11">
        <f t="shared" si="0"/>
        <v>1260</v>
      </c>
      <c r="E15" s="12" t="s">
        <v>159</v>
      </c>
    </row>
    <row r="16" spans="1:5" x14ac:dyDescent="0.4">
      <c r="A16" s="11" t="s">
        <v>13</v>
      </c>
      <c r="B16" s="11">
        <v>118</v>
      </c>
      <c r="C16" s="11">
        <v>118</v>
      </c>
      <c r="D16" s="11">
        <f t="shared" si="0"/>
        <v>1416</v>
      </c>
      <c r="E16" s="12" t="s">
        <v>160</v>
      </c>
    </row>
    <row r="17" spans="1:5" x14ac:dyDescent="0.4">
      <c r="A17" s="11" t="s">
        <v>14</v>
      </c>
      <c r="B17" s="11">
        <v>98</v>
      </c>
      <c r="C17" s="11">
        <v>98</v>
      </c>
      <c r="D17" s="11">
        <f t="shared" si="0"/>
        <v>1176</v>
      </c>
      <c r="E17" s="12" t="s">
        <v>159</v>
      </c>
    </row>
    <row r="18" spans="1:5" x14ac:dyDescent="0.4">
      <c r="A18" s="11" t="s">
        <v>15</v>
      </c>
      <c r="B18" s="11">
        <v>103</v>
      </c>
      <c r="C18" s="11">
        <v>103</v>
      </c>
      <c r="D18" s="11">
        <f t="shared" si="0"/>
        <v>1236</v>
      </c>
      <c r="E18" s="12" t="s">
        <v>161</v>
      </c>
    </row>
    <row r="19" spans="1:5" x14ac:dyDescent="0.4">
      <c r="A19" s="11" t="s">
        <v>16</v>
      </c>
      <c r="B19" s="11">
        <v>103</v>
      </c>
      <c r="C19" s="11">
        <v>103</v>
      </c>
      <c r="D19" s="11">
        <f t="shared" si="0"/>
        <v>1236</v>
      </c>
      <c r="E19" s="12" t="s">
        <v>159</v>
      </c>
    </row>
    <row r="20" spans="1:5" x14ac:dyDescent="0.4">
      <c r="A20" s="11" t="s">
        <v>17</v>
      </c>
      <c r="B20" s="11">
        <v>148</v>
      </c>
      <c r="C20" s="11">
        <v>148</v>
      </c>
      <c r="D20" s="11">
        <f t="shared" si="0"/>
        <v>1776</v>
      </c>
      <c r="E20" s="12" t="s">
        <v>162</v>
      </c>
    </row>
    <row r="21" spans="1:5" x14ac:dyDescent="0.4">
      <c r="A21" s="11" t="s">
        <v>18</v>
      </c>
      <c r="B21" s="11">
        <v>116</v>
      </c>
      <c r="C21" s="11">
        <v>116</v>
      </c>
      <c r="D21" s="11">
        <f t="shared" si="0"/>
        <v>1392</v>
      </c>
      <c r="E21" s="12" t="s">
        <v>163</v>
      </c>
    </row>
    <row r="22" spans="1:5" x14ac:dyDescent="0.4">
      <c r="A22" s="11" t="s">
        <v>19</v>
      </c>
      <c r="B22" s="11" t="s">
        <v>164</v>
      </c>
      <c r="C22" s="11">
        <v>178</v>
      </c>
      <c r="D22" s="11">
        <f t="shared" si="0"/>
        <v>2136</v>
      </c>
      <c r="E22" s="12" t="s">
        <v>165</v>
      </c>
    </row>
    <row r="23" spans="1:5" x14ac:dyDescent="0.4">
      <c r="A23" s="11" t="s">
        <v>20</v>
      </c>
      <c r="B23" s="11">
        <v>115</v>
      </c>
      <c r="C23" s="11">
        <v>115</v>
      </c>
      <c r="D23" s="11">
        <f t="shared" si="0"/>
        <v>1380</v>
      </c>
      <c r="E23" s="12" t="s">
        <v>101</v>
      </c>
    </row>
    <row r="24" spans="1:5" x14ac:dyDescent="0.4">
      <c r="A24" s="11" t="s">
        <v>21</v>
      </c>
      <c r="B24" s="11" t="s">
        <v>166</v>
      </c>
      <c r="C24" s="11">
        <v>100</v>
      </c>
      <c r="D24" s="11">
        <f t="shared" si="0"/>
        <v>1200</v>
      </c>
      <c r="E24" s="12" t="s">
        <v>167</v>
      </c>
    </row>
    <row r="25" spans="1:5" x14ac:dyDescent="0.4">
      <c r="A25" s="11" t="s">
        <v>22</v>
      </c>
      <c r="B25" s="11" t="s">
        <v>168</v>
      </c>
      <c r="C25" s="11">
        <v>93</v>
      </c>
      <c r="D25" s="11">
        <f t="shared" si="0"/>
        <v>1116</v>
      </c>
      <c r="E25" s="12" t="s">
        <v>169</v>
      </c>
    </row>
    <row r="26" spans="1:5" x14ac:dyDescent="0.4">
      <c r="A26" s="11" t="s">
        <v>23</v>
      </c>
      <c r="B26" s="11">
        <v>103</v>
      </c>
      <c r="C26" s="11">
        <v>103</v>
      </c>
      <c r="D26" s="11">
        <f t="shared" si="0"/>
        <v>1236</v>
      </c>
      <c r="E26" s="12" t="s">
        <v>170</v>
      </c>
    </row>
    <row r="27" spans="1:5" x14ac:dyDescent="0.4">
      <c r="A27" s="11" t="s">
        <v>24</v>
      </c>
      <c r="B27" s="11">
        <v>170</v>
      </c>
      <c r="C27" s="11">
        <v>170</v>
      </c>
      <c r="D27" s="11">
        <f t="shared" si="0"/>
        <v>2040</v>
      </c>
      <c r="E27" s="12" t="s">
        <v>171</v>
      </c>
    </row>
    <row r="28" spans="1:5" x14ac:dyDescent="0.4">
      <c r="A28" s="11" t="s">
        <v>25</v>
      </c>
      <c r="B28" s="11" t="s">
        <v>172</v>
      </c>
      <c r="C28" s="11">
        <v>103</v>
      </c>
      <c r="D28" s="11">
        <f t="shared" si="0"/>
        <v>1236</v>
      </c>
      <c r="E28" s="12" t="s">
        <v>173</v>
      </c>
    </row>
    <row r="29" spans="1:5" x14ac:dyDescent="0.4">
      <c r="A29" s="11" t="s">
        <v>26</v>
      </c>
      <c r="B29" s="11">
        <v>103</v>
      </c>
      <c r="C29" s="11">
        <v>103</v>
      </c>
      <c r="D29" s="11">
        <f t="shared" si="0"/>
        <v>1236</v>
      </c>
      <c r="E29" s="12" t="s">
        <v>174</v>
      </c>
    </row>
    <row r="30" spans="1:5" x14ac:dyDescent="0.4">
      <c r="A30" s="11" t="s">
        <v>27</v>
      </c>
      <c r="B30" s="11">
        <v>175</v>
      </c>
      <c r="C30" s="11">
        <v>175</v>
      </c>
      <c r="D30" s="11">
        <f t="shared" si="0"/>
        <v>2100</v>
      </c>
      <c r="E30" s="12" t="s">
        <v>159</v>
      </c>
    </row>
    <row r="31" spans="1:5" x14ac:dyDescent="0.4">
      <c r="A31" s="11" t="s">
        <v>28</v>
      </c>
      <c r="B31" s="11" t="s">
        <v>175</v>
      </c>
      <c r="C31" s="11">
        <v>140</v>
      </c>
      <c r="D31" s="11">
        <f t="shared" si="0"/>
        <v>1680</v>
      </c>
      <c r="E31" s="12" t="s">
        <v>176</v>
      </c>
    </row>
    <row r="32" spans="1:5" x14ac:dyDescent="0.4">
      <c r="A32" s="11" t="s">
        <v>29</v>
      </c>
      <c r="B32" s="11">
        <v>140</v>
      </c>
      <c r="C32" s="11">
        <v>140</v>
      </c>
      <c r="D32" s="11">
        <f t="shared" si="0"/>
        <v>1680</v>
      </c>
      <c r="E32" s="12" t="s">
        <v>177</v>
      </c>
    </row>
  </sheetData>
  <sortState xmlns:xlrd2="http://schemas.microsoft.com/office/spreadsheetml/2017/richdata2" ref="A2:E32">
    <sortCondition ref="A2:A32" customList=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"/>
  </sortState>
  <phoneticPr fontId="1" type="noConversion"/>
  <hyperlinks>
    <hyperlink ref="E2" r:id="rId1" display="https://rsj.beijing.gov.cn/xxgk/2024zcwj/202406/t20240617_3716801.html" xr:uid="{4EA749D5-8AB2-4C54-B340-75010F86661F}"/>
    <hyperlink ref="E10" r:id="rId2" display="https://rsj.sh.gov.cn/tshbx_17729/20200617/t0035_1389122.html" xr:uid="{F3771642-760B-493C-A2FB-733DF90052B9}"/>
    <hyperlink ref="E3" r:id="rId3" display="https://hrss.tj.gov.cn/zhengwugongkai/zhengcezhinan/zxwjnew/202012/t20201206_4492600.html" xr:uid="{6FB83E29-16DE-4AC8-A30A-E657D79E9CFF}"/>
    <hyperlink ref="E23" r:id="rId4" display="https://rlsbj.cq.gov.cn/ywzl/shbx/zczs/202006/t20200604_7541826.html" xr:uid="{F823918D-A885-416F-B255-3015C66098BB}"/>
    <hyperlink ref="E4" r:id="rId5" display="https://www.xinji.gov.cn/app/qtwj/117148.html" xr:uid="{AC97AF72-7E76-4807-B72F-50ED86D2CEB9}"/>
    <hyperlink ref="E5" r:id="rId6" display="http://www.liulin.gov.cn/llxxxgk/zfxxgk/zdlygk/ylfu/202105/W020210511312134059025.pdf" xr:uid="{96D5331E-FAB0-4423-99B9-1E096B6975A1}"/>
    <hyperlink ref="E7" r:id="rId7" display="https://rst.ln.gov.cn/rst/zfxx/fdzdgknr/lzyj/rstgfxwj/lrsg/B9B40A258CB346AAB2BC1EA43239BC1F/index.shtml" xr:uid="{5DC34422-9550-4A97-8AD4-BC02972737D7}"/>
    <hyperlink ref="E8" r:id="rId8" display="http://jlsi.jl.gov.cn/zcfgjjd/qyzgylbx/201810/t20181023_7261987.html" xr:uid="{12F8364E-2D97-4CB1-87F1-F462AA0B0448}"/>
    <hyperlink ref="E9" r:id="rId9" display="https://www.hlj.gov.cn/hlj/c108006/201801/c00_30645128.shtml" xr:uid="{5285AB84-8FF1-46B2-B7D2-E5D5A5A3E3B9}"/>
    <hyperlink ref="E11" r:id="rId10" display="https://jshrss.jiangsu.gov.cn/art/2019/3/27/art_77277_9079844.html" xr:uid="{D6CC3E9A-BE30-46EE-8335-46121F6A66F8}"/>
    <hyperlink ref="E12" r:id="rId11" display="https://m12333.cn/policy/mbke.html" xr:uid="{260FD8FC-9B2E-4556-9694-3D44580AE6CD}"/>
    <hyperlink ref="E13" r:id="rId12" display="https://hrss.ah.gov.cn/csdh/ncbx/8436171.html" xr:uid="{82C00FAF-B054-4358-B566-B0DE840970E7}"/>
    <hyperlink ref="E14" r:id="rId13" display="https://rst.fujian.gov.cn/zw/zfxxgk/zfxxgkml/zyywgz/ldgx/201806/t20180622_3359825.htm" xr:uid="{C4680D4C-A763-4057-AEFF-CCAA327C1A92}"/>
    <hyperlink ref="E15" r:id="rId14" xr:uid="{57B48240-8E2B-4E6B-9253-C1070DA52AA1}"/>
    <hyperlink ref="E16" r:id="rId15" xr:uid="{C615AFD4-0B79-4885-8B9B-6B42EB8A610A}"/>
    <hyperlink ref="E17" r:id="rId16" xr:uid="{4F9313BB-EB72-4706-A6C6-50BF82B13070}"/>
    <hyperlink ref="E18" r:id="rId17" display="http://rst.hubei.gov.cn/zfxxgk/zc/qtzdgkwj/201809/t20180929_705556.shtml" xr:uid="{139412BE-7993-43E3-86CF-97529261C7EA}"/>
    <hyperlink ref="E19" r:id="rId18" xr:uid="{2524E19A-359B-411B-A663-C6E6AC5741C3}"/>
    <hyperlink ref="E20" r:id="rId19" display="https://www.gd.gov.cn/zwgk/gongbao/2018/30/content/post_3366079.html" xr:uid="{829B0195-0459-4FEB-8721-09EA78D6DD72}"/>
    <hyperlink ref="E21" r:id="rId20" xr:uid="{C462B54C-CA32-4938-B2AE-1AAAE744F26E}"/>
    <hyperlink ref="E22" r:id="rId21" xr:uid="{9BC70C4E-42C3-4908-9175-6CB0C5ADE9AB}"/>
    <hyperlink ref="E24" r:id="rId22" display="https://www.sc.gov.cn/10462/10464/10797/2018/11/28/10463781.shtml" xr:uid="{3D9CC0C3-684A-4D26-A0BF-C18EB9A35AAF}"/>
    <hyperlink ref="E25" r:id="rId23" display="https://www.guanshanhu.gov.cn/zwgk/zdlyxx/shbx_5780482/201901/t20190116_64475957.html" xr:uid="{88C3F201-753C-49D8-A896-42A8244A446A}"/>
    <hyperlink ref="E26" r:id="rId24" xr:uid="{4523B2F3-C972-4CAB-A1D2-B571C59AE847}"/>
    <hyperlink ref="E27" r:id="rId25" display="http://hrss.xizang.gov.cn/zcfg/shbz/202101/P020210602619031829861.pdf" xr:uid="{64DCA7E7-45A8-4044-86FA-2074C43B4158}"/>
    <hyperlink ref="E28" r:id="rId26" display="https://rst.shaanxi.gov.cn/zcfg/zcfgsjk/gfxwj/shbz/201806/t20180606_3019445.html" xr:uid="{1221D138-C673-460F-A7D9-B980A20DC75B}"/>
    <hyperlink ref="E29" r:id="rId27" xr:uid="{6FEBBF5E-D78C-4397-BCDD-1486A2942EB3}"/>
    <hyperlink ref="E30" r:id="rId28" xr:uid="{6F76F2FA-B759-49C7-9186-E71FE2F0265E}"/>
    <hyperlink ref="E31" r:id="rId29" display="https://hrss.nx.gov.cn/xxgk/zcj/zcfg/shbz/201808/t20180821_987979.html" xr:uid="{840F5693-289E-42F3-8216-C3DFFB573300}"/>
    <hyperlink ref="E6" r:id="rId30" xr:uid="{41478D75-0335-4614-BE71-DBB0EC3C34C9}"/>
    <hyperlink ref="E32" r:id="rId31" xr:uid="{6696FF84-F0F2-4FA6-A238-BD06C763711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144E-2E81-4895-9610-0AA1BE2839F9}">
  <dimension ref="A1:H32"/>
  <sheetViews>
    <sheetView workbookViewId="0">
      <selection activeCell="F19" sqref="F19"/>
    </sheetView>
  </sheetViews>
  <sheetFormatPr defaultRowHeight="13.9" x14ac:dyDescent="0.4"/>
  <sheetData>
    <row r="1" spans="1:8" x14ac:dyDescent="0.4">
      <c r="A1" t="s">
        <v>57</v>
      </c>
      <c r="B1" t="s">
        <v>181</v>
      </c>
      <c r="G1" t="s">
        <v>179</v>
      </c>
      <c r="H1" s="2" t="s">
        <v>180</v>
      </c>
    </row>
    <row r="2" spans="1:8" x14ac:dyDescent="0.4">
      <c r="A2" s="6" t="s">
        <v>0</v>
      </c>
      <c r="B2" s="6">
        <v>131700</v>
      </c>
    </row>
    <row r="3" spans="1:8" x14ac:dyDescent="0.4">
      <c r="A3" s="6" t="s">
        <v>1</v>
      </c>
      <c r="B3" s="6">
        <v>94534</v>
      </c>
    </row>
    <row r="4" spans="1:8" x14ac:dyDescent="0.4">
      <c r="A4" s="6" t="s">
        <v>54</v>
      </c>
      <c r="B4" s="6">
        <v>63036</v>
      </c>
    </row>
    <row r="5" spans="1:8" x14ac:dyDescent="0.4">
      <c r="A5" s="6" t="s">
        <v>2</v>
      </c>
      <c r="B5" s="6">
        <v>60061</v>
      </c>
    </row>
    <row r="6" spans="1:8" ht="27.75" x14ac:dyDescent="0.4">
      <c r="A6" s="6" t="s">
        <v>3</v>
      </c>
      <c r="B6" s="6">
        <v>66679</v>
      </c>
    </row>
    <row r="7" spans="1:8" x14ac:dyDescent="0.4">
      <c r="A7" s="6" t="s">
        <v>4</v>
      </c>
      <c r="B7" s="6">
        <v>61153</v>
      </c>
    </row>
    <row r="8" spans="1:8" x14ac:dyDescent="0.4">
      <c r="A8" s="6" t="s">
        <v>5</v>
      </c>
      <c r="B8" s="6">
        <v>61451</v>
      </c>
    </row>
    <row r="9" spans="1:8" x14ac:dyDescent="0.4">
      <c r="A9" s="6" t="s">
        <v>6</v>
      </c>
      <c r="B9" s="6">
        <v>56067</v>
      </c>
    </row>
    <row r="10" spans="1:8" x14ac:dyDescent="0.4">
      <c r="A10" s="6" t="s">
        <v>7</v>
      </c>
      <c r="B10" s="6">
        <v>129795</v>
      </c>
    </row>
    <row r="11" spans="1:8" x14ac:dyDescent="0.4">
      <c r="A11" s="6" t="s">
        <v>8</v>
      </c>
      <c r="B11" s="6">
        <v>78267</v>
      </c>
    </row>
    <row r="12" spans="1:8" x14ac:dyDescent="0.4">
      <c r="A12" s="6" t="s">
        <v>9</v>
      </c>
      <c r="B12" s="6">
        <v>80750</v>
      </c>
    </row>
    <row r="13" spans="1:8" x14ac:dyDescent="0.4">
      <c r="A13" s="6" t="s">
        <v>10</v>
      </c>
      <c r="B13" s="6">
        <v>65150</v>
      </c>
    </row>
    <row r="14" spans="1:8" x14ac:dyDescent="0.4">
      <c r="A14" s="6" t="s">
        <v>11</v>
      </c>
      <c r="B14" s="6">
        <v>67420</v>
      </c>
    </row>
    <row r="15" spans="1:8" x14ac:dyDescent="0.4">
      <c r="A15" s="6" t="s">
        <v>12</v>
      </c>
      <c r="B15" s="6">
        <v>61429</v>
      </c>
    </row>
    <row r="16" spans="1:8" x14ac:dyDescent="0.4">
      <c r="A16" s="6" t="s">
        <v>13</v>
      </c>
      <c r="B16" s="6">
        <v>68081</v>
      </c>
    </row>
    <row r="17" spans="1:2" x14ac:dyDescent="0.4">
      <c r="A17" s="6" t="s">
        <v>14</v>
      </c>
      <c r="B17" s="6">
        <v>55495</v>
      </c>
    </row>
    <row r="18" spans="1:2" x14ac:dyDescent="0.4">
      <c r="A18" s="6" t="s">
        <v>15</v>
      </c>
      <c r="B18" s="6">
        <v>65912</v>
      </c>
    </row>
    <row r="19" spans="1:2" x14ac:dyDescent="0.4">
      <c r="A19" s="6" t="s">
        <v>16</v>
      </c>
      <c r="B19" s="6">
        <v>63690</v>
      </c>
    </row>
    <row r="20" spans="1:2" x14ac:dyDescent="0.4">
      <c r="A20" s="6" t="s">
        <v>17</v>
      </c>
      <c r="B20" s="6">
        <v>79183</v>
      </c>
    </row>
    <row r="21" spans="1:2" ht="27.75" x14ac:dyDescent="0.4">
      <c r="A21" s="6" t="s">
        <v>18</v>
      </c>
      <c r="B21" s="6">
        <v>63821</v>
      </c>
    </row>
    <row r="22" spans="1:2" x14ac:dyDescent="0.4">
      <c r="A22" s="6" t="s">
        <v>19</v>
      </c>
      <c r="B22" s="6">
        <v>67727</v>
      </c>
    </row>
    <row r="23" spans="1:2" x14ac:dyDescent="0.4">
      <c r="A23" s="6" t="s">
        <v>20</v>
      </c>
      <c r="B23" s="6">
        <v>70889</v>
      </c>
    </row>
    <row r="24" spans="1:2" x14ac:dyDescent="0.4">
      <c r="A24" s="6" t="s">
        <v>21</v>
      </c>
      <c r="B24" s="6">
        <v>69419</v>
      </c>
    </row>
    <row r="25" spans="1:2" x14ac:dyDescent="0.4">
      <c r="A25" s="6" t="s">
        <v>22</v>
      </c>
      <c r="B25" s="6">
        <v>71795</v>
      </c>
    </row>
    <row r="26" spans="1:2" x14ac:dyDescent="0.4">
      <c r="A26" s="6" t="s">
        <v>23</v>
      </c>
      <c r="B26" s="6">
        <v>69106</v>
      </c>
    </row>
    <row r="27" spans="1:2" ht="27.75" x14ac:dyDescent="0.4">
      <c r="A27" s="6" t="s">
        <v>24</v>
      </c>
      <c r="B27" s="6">
        <v>108817</v>
      </c>
    </row>
    <row r="28" spans="1:2" x14ac:dyDescent="0.4">
      <c r="A28" s="6" t="s">
        <v>25</v>
      </c>
      <c r="B28" s="6">
        <v>65181</v>
      </c>
    </row>
    <row r="29" spans="1:2" x14ac:dyDescent="0.4">
      <c r="A29" s="6" t="s">
        <v>26</v>
      </c>
      <c r="B29" s="6">
        <v>63374</v>
      </c>
    </row>
    <row r="30" spans="1:2" x14ac:dyDescent="0.4">
      <c r="A30" s="6" t="s">
        <v>27</v>
      </c>
      <c r="B30" s="6">
        <v>75701</v>
      </c>
    </row>
    <row r="31" spans="1:2" ht="27.75" x14ac:dyDescent="0.4">
      <c r="A31" s="6" t="s">
        <v>28</v>
      </c>
      <c r="B31" s="6">
        <v>70298</v>
      </c>
    </row>
    <row r="32" spans="1:2" ht="27.75" x14ac:dyDescent="0.4">
      <c r="A32" s="6" t="s">
        <v>29</v>
      </c>
      <c r="B32" s="6">
        <v>67932</v>
      </c>
    </row>
  </sheetData>
  <sortState xmlns:xlrd2="http://schemas.microsoft.com/office/spreadsheetml/2017/richdata2" ref="A2:B32">
    <sortCondition ref="A2:A32" customList=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"/>
  </sortState>
  <phoneticPr fontId="1" type="noConversion"/>
  <hyperlinks>
    <hyperlink ref="H1" r:id="rId1" xr:uid="{4F648008-7DE9-4615-854D-A7B881DAC7B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15D3-15B0-4467-A7E8-4B6F9FB645ED}">
  <dimension ref="A1:G32"/>
  <sheetViews>
    <sheetView topLeftCell="A31" workbookViewId="0">
      <selection activeCell="C2" sqref="C2:C32"/>
    </sheetView>
  </sheetViews>
  <sheetFormatPr defaultRowHeight="13.9" x14ac:dyDescent="0.4"/>
  <cols>
    <col min="1" max="1" width="4.9296875" bestFit="1" customWidth="1"/>
    <col min="2" max="4" width="8.796875" bestFit="1" customWidth="1"/>
    <col min="5" max="5" width="16.9296875" bestFit="1" customWidth="1"/>
    <col min="6" max="6" width="12.86328125" bestFit="1" customWidth="1"/>
  </cols>
  <sheetData>
    <row r="1" spans="1:7" ht="41.65" x14ac:dyDescent="0.4">
      <c r="A1" s="7" t="s">
        <v>52</v>
      </c>
      <c r="B1" s="7" t="s">
        <v>182</v>
      </c>
      <c r="C1" s="7" t="s">
        <v>143</v>
      </c>
      <c r="D1" s="7" t="s">
        <v>183</v>
      </c>
      <c r="E1" t="s">
        <v>62</v>
      </c>
      <c r="F1" t="s">
        <v>60</v>
      </c>
      <c r="G1" t="s">
        <v>58</v>
      </c>
    </row>
    <row r="2" spans="1:7" ht="124.9" x14ac:dyDescent="0.4">
      <c r="A2" s="6" t="s">
        <v>0</v>
      </c>
      <c r="B2" s="6" t="s">
        <v>184</v>
      </c>
      <c r="C2" s="13">
        <v>0.2</v>
      </c>
      <c r="D2" s="8" t="s">
        <v>185</v>
      </c>
      <c r="E2" s="3">
        <v>0.4</v>
      </c>
      <c r="F2" s="3">
        <v>1</v>
      </c>
      <c r="G2" t="s">
        <v>241</v>
      </c>
    </row>
    <row r="3" spans="1:7" ht="152.65" x14ac:dyDescent="0.4">
      <c r="A3" s="6" t="s">
        <v>1</v>
      </c>
      <c r="B3" s="6" t="s">
        <v>186</v>
      </c>
      <c r="C3" s="13">
        <v>0.2</v>
      </c>
      <c r="D3" s="8" t="s">
        <v>187</v>
      </c>
      <c r="E3" s="3">
        <v>0.6</v>
      </c>
      <c r="F3" s="3">
        <v>1</v>
      </c>
      <c r="G3" t="s">
        <v>242</v>
      </c>
    </row>
    <row r="4" spans="1:7" ht="124.9" x14ac:dyDescent="0.4">
      <c r="A4" s="6" t="s">
        <v>54</v>
      </c>
      <c r="B4" s="6" t="s">
        <v>192</v>
      </c>
      <c r="C4" s="13">
        <v>0.2</v>
      </c>
      <c r="D4" s="8" t="s">
        <v>228</v>
      </c>
      <c r="E4" s="3">
        <v>0.6</v>
      </c>
      <c r="F4" s="3">
        <v>3</v>
      </c>
      <c r="G4" t="s">
        <v>73</v>
      </c>
    </row>
    <row r="5" spans="1:7" ht="124.9" x14ac:dyDescent="0.4">
      <c r="A5" s="6" t="s">
        <v>2</v>
      </c>
      <c r="B5" s="6" t="s">
        <v>193</v>
      </c>
      <c r="C5" s="13">
        <v>0.2</v>
      </c>
      <c r="D5" s="8" t="s">
        <v>194</v>
      </c>
      <c r="E5" s="3">
        <v>0.6</v>
      </c>
      <c r="F5" s="3">
        <v>1</v>
      </c>
      <c r="G5" t="s">
        <v>243</v>
      </c>
    </row>
    <row r="6" spans="1:7" ht="194.25" x14ac:dyDescent="0.4">
      <c r="A6" s="6" t="s">
        <v>3</v>
      </c>
      <c r="B6" s="6" t="s">
        <v>229</v>
      </c>
      <c r="C6" s="13">
        <v>0.2</v>
      </c>
      <c r="D6" s="8" t="s">
        <v>227</v>
      </c>
      <c r="E6" s="3">
        <v>0.6</v>
      </c>
      <c r="F6" s="3">
        <v>3</v>
      </c>
      <c r="G6" t="s">
        <v>244</v>
      </c>
    </row>
    <row r="7" spans="1:7" ht="152.65" x14ac:dyDescent="0.4">
      <c r="A7" s="6" t="s">
        <v>4</v>
      </c>
      <c r="B7" s="6" t="s">
        <v>195</v>
      </c>
      <c r="C7" s="13">
        <v>0.2</v>
      </c>
      <c r="D7" s="8" t="s">
        <v>196</v>
      </c>
      <c r="E7" s="3">
        <v>0.6</v>
      </c>
      <c r="F7" s="3">
        <v>3</v>
      </c>
      <c r="G7" t="s">
        <v>245</v>
      </c>
    </row>
    <row r="8" spans="1:7" ht="166.5" x14ac:dyDescent="0.4">
      <c r="A8" s="6" t="s">
        <v>5</v>
      </c>
      <c r="B8" s="6" t="s">
        <v>197</v>
      </c>
      <c r="C8" s="13">
        <v>0.2</v>
      </c>
      <c r="D8" s="8" t="s">
        <v>198</v>
      </c>
      <c r="E8" s="3">
        <v>0.6</v>
      </c>
      <c r="F8" s="3">
        <v>1.2</v>
      </c>
      <c r="G8" t="s">
        <v>246</v>
      </c>
    </row>
    <row r="9" spans="1:7" ht="208.15" x14ac:dyDescent="0.4">
      <c r="A9" s="6" t="s">
        <v>6</v>
      </c>
      <c r="B9" s="6" t="s">
        <v>231</v>
      </c>
      <c r="C9" s="13">
        <v>0.2</v>
      </c>
      <c r="D9" s="8" t="s">
        <v>230</v>
      </c>
      <c r="E9" s="3">
        <v>0.6</v>
      </c>
      <c r="F9" s="3">
        <v>3</v>
      </c>
      <c r="G9" t="s">
        <v>247</v>
      </c>
    </row>
    <row r="10" spans="1:7" ht="124.9" x14ac:dyDescent="0.4">
      <c r="A10" s="6" t="s">
        <v>7</v>
      </c>
      <c r="B10" s="6" t="s">
        <v>188</v>
      </c>
      <c r="C10" s="13">
        <v>0.28000000000000003</v>
      </c>
      <c r="D10" s="8" t="s">
        <v>189</v>
      </c>
      <c r="E10" s="3">
        <v>0.6</v>
      </c>
      <c r="F10" s="3">
        <v>3</v>
      </c>
      <c r="G10" t="s">
        <v>73</v>
      </c>
    </row>
    <row r="11" spans="1:7" ht="124.9" x14ac:dyDescent="0.4">
      <c r="A11" s="6" t="s">
        <v>8</v>
      </c>
      <c r="B11" s="6" t="s">
        <v>192</v>
      </c>
      <c r="C11" s="13">
        <v>0.2</v>
      </c>
      <c r="D11" s="8" t="s">
        <v>199</v>
      </c>
      <c r="E11" s="3">
        <v>0.6</v>
      </c>
      <c r="F11" s="3">
        <v>3</v>
      </c>
      <c r="G11" t="s">
        <v>73</v>
      </c>
    </row>
    <row r="12" spans="1:7" ht="138.75" x14ac:dyDescent="0.4">
      <c r="A12" s="6" t="s">
        <v>9</v>
      </c>
      <c r="B12" s="6" t="s">
        <v>232</v>
      </c>
      <c r="C12" s="13">
        <v>0.18</v>
      </c>
      <c r="D12" s="8" t="s">
        <v>200</v>
      </c>
      <c r="E12" s="3">
        <v>0.8</v>
      </c>
      <c r="F12" s="3">
        <v>3</v>
      </c>
      <c r="G12" t="s">
        <v>248</v>
      </c>
    </row>
    <row r="13" spans="1:7" ht="124.9" x14ac:dyDescent="0.4">
      <c r="A13" s="6" t="s">
        <v>10</v>
      </c>
      <c r="B13" s="6" t="s">
        <v>201</v>
      </c>
      <c r="C13" s="13">
        <v>0.2</v>
      </c>
      <c r="D13" s="8" t="s">
        <v>202</v>
      </c>
      <c r="E13" s="3">
        <v>0.6</v>
      </c>
      <c r="F13" s="3">
        <v>1</v>
      </c>
      <c r="G13" t="s">
        <v>73</v>
      </c>
    </row>
    <row r="14" spans="1:7" ht="138.75" x14ac:dyDescent="0.4">
      <c r="A14" s="6" t="s">
        <v>11</v>
      </c>
      <c r="B14" s="6" t="s">
        <v>233</v>
      </c>
      <c r="C14" s="13">
        <v>0.2</v>
      </c>
      <c r="D14" s="8" t="s">
        <v>203</v>
      </c>
      <c r="E14" s="3">
        <v>0.6</v>
      </c>
      <c r="F14" s="3">
        <v>3</v>
      </c>
      <c r="G14" t="s">
        <v>73</v>
      </c>
    </row>
    <row r="15" spans="1:7" ht="166.5" x14ac:dyDescent="0.4">
      <c r="A15" s="6" t="s">
        <v>12</v>
      </c>
      <c r="B15" s="6" t="s">
        <v>204</v>
      </c>
      <c r="C15" s="13">
        <v>0.2</v>
      </c>
      <c r="D15" s="8" t="s">
        <v>205</v>
      </c>
      <c r="E15" s="3">
        <v>0.6</v>
      </c>
      <c r="F15" s="3">
        <v>3</v>
      </c>
      <c r="G15" t="s">
        <v>249</v>
      </c>
    </row>
    <row r="16" spans="1:7" ht="124.9" x14ac:dyDescent="0.4">
      <c r="A16" s="6" t="s">
        <v>13</v>
      </c>
      <c r="B16" s="6" t="s">
        <v>234</v>
      </c>
      <c r="C16" s="13">
        <v>0.2</v>
      </c>
      <c r="D16" s="8" t="s">
        <v>206</v>
      </c>
      <c r="E16" s="3">
        <v>0.6</v>
      </c>
      <c r="F16" s="3">
        <v>1</v>
      </c>
      <c r="G16" t="s">
        <v>243</v>
      </c>
    </row>
    <row r="17" spans="1:7" ht="152.65" x14ac:dyDescent="0.4">
      <c r="A17" s="6" t="s">
        <v>14</v>
      </c>
      <c r="B17" s="6" t="s">
        <v>207</v>
      </c>
      <c r="C17" s="13">
        <v>0.2</v>
      </c>
      <c r="D17" s="8" t="s">
        <v>208</v>
      </c>
      <c r="E17" s="3">
        <v>0.6</v>
      </c>
      <c r="F17" s="3">
        <v>3</v>
      </c>
      <c r="G17" t="s">
        <v>73</v>
      </c>
    </row>
    <row r="18" spans="1:7" ht="208.15" x14ac:dyDescent="0.4">
      <c r="A18" s="6" t="s">
        <v>15</v>
      </c>
      <c r="B18" s="6" t="s">
        <v>209</v>
      </c>
      <c r="C18" s="13">
        <v>0.2</v>
      </c>
      <c r="D18" s="8" t="s">
        <v>210</v>
      </c>
      <c r="E18" s="3">
        <v>0.6</v>
      </c>
      <c r="F18" s="3">
        <v>3</v>
      </c>
      <c r="G18" t="s">
        <v>247</v>
      </c>
    </row>
    <row r="19" spans="1:7" ht="138.75" x14ac:dyDescent="0.4">
      <c r="A19" s="6" t="s">
        <v>16</v>
      </c>
      <c r="B19" s="6" t="s">
        <v>235</v>
      </c>
      <c r="C19" s="13">
        <v>0.2</v>
      </c>
      <c r="D19" s="8" t="s">
        <v>211</v>
      </c>
      <c r="E19" s="3">
        <v>0.6</v>
      </c>
      <c r="F19" s="3">
        <v>1</v>
      </c>
      <c r="G19" t="s">
        <v>243</v>
      </c>
    </row>
    <row r="20" spans="1:7" ht="194.25" x14ac:dyDescent="0.4">
      <c r="A20" s="6" t="s">
        <v>17</v>
      </c>
      <c r="B20" s="6" t="s">
        <v>192</v>
      </c>
      <c r="C20" s="13">
        <v>0.2</v>
      </c>
      <c r="D20" s="8" t="s">
        <v>212</v>
      </c>
      <c r="E20" s="3">
        <v>0.6</v>
      </c>
      <c r="F20" s="3">
        <v>3</v>
      </c>
      <c r="G20" t="s">
        <v>73</v>
      </c>
    </row>
    <row r="21" spans="1:7" ht="194.25" x14ac:dyDescent="0.4">
      <c r="A21" s="6" t="s">
        <v>18</v>
      </c>
      <c r="B21" s="6" t="s">
        <v>236</v>
      </c>
      <c r="C21" s="13">
        <v>0.2</v>
      </c>
      <c r="D21" s="8" t="s">
        <v>213</v>
      </c>
      <c r="E21" s="3">
        <v>0.6</v>
      </c>
      <c r="F21" s="3">
        <v>3</v>
      </c>
      <c r="G21" t="s">
        <v>244</v>
      </c>
    </row>
    <row r="22" spans="1:7" ht="124.9" x14ac:dyDescent="0.4">
      <c r="A22" s="6" t="s">
        <v>19</v>
      </c>
      <c r="B22" s="6" t="s">
        <v>192</v>
      </c>
      <c r="C22" s="13">
        <v>0.2</v>
      </c>
      <c r="D22" s="8" t="s">
        <v>214</v>
      </c>
      <c r="E22" s="3">
        <v>0.6</v>
      </c>
      <c r="F22" s="3">
        <v>3</v>
      </c>
      <c r="G22" t="s">
        <v>73</v>
      </c>
    </row>
    <row r="23" spans="1:7" ht="152.65" x14ac:dyDescent="0.4">
      <c r="A23" s="6" t="s">
        <v>20</v>
      </c>
      <c r="B23" s="6" t="s">
        <v>190</v>
      </c>
      <c r="C23" s="13">
        <v>0.2</v>
      </c>
      <c r="D23" s="8" t="s">
        <v>191</v>
      </c>
      <c r="E23" s="3">
        <v>0.6</v>
      </c>
      <c r="F23" s="3">
        <v>1</v>
      </c>
      <c r="G23" t="s">
        <v>250</v>
      </c>
    </row>
    <row r="24" spans="1:7" ht="124.9" x14ac:dyDescent="0.4">
      <c r="A24" s="6" t="s">
        <v>21</v>
      </c>
      <c r="B24" s="6" t="s">
        <v>215</v>
      </c>
      <c r="C24" s="13">
        <v>0.2</v>
      </c>
      <c r="D24" s="8" t="s">
        <v>216</v>
      </c>
      <c r="E24" s="3">
        <v>0.4</v>
      </c>
      <c r="F24" s="3">
        <v>1</v>
      </c>
      <c r="G24" t="s">
        <v>251</v>
      </c>
    </row>
    <row r="25" spans="1:7" ht="124.9" x14ac:dyDescent="0.4">
      <c r="A25" s="6" t="s">
        <v>22</v>
      </c>
      <c r="B25" s="6" t="s">
        <v>192</v>
      </c>
      <c r="C25" s="13">
        <v>0.2</v>
      </c>
      <c r="D25" s="8" t="s">
        <v>237</v>
      </c>
      <c r="E25" s="3">
        <v>0.6</v>
      </c>
      <c r="F25" s="3">
        <v>3</v>
      </c>
      <c r="G25" t="s">
        <v>73</v>
      </c>
    </row>
    <row r="26" spans="1:7" ht="138.75" x14ac:dyDescent="0.4">
      <c r="A26" s="6" t="s">
        <v>23</v>
      </c>
      <c r="B26" s="6" t="s">
        <v>217</v>
      </c>
      <c r="C26" s="13">
        <v>0.2</v>
      </c>
      <c r="D26" s="8" t="s">
        <v>238</v>
      </c>
      <c r="E26" s="3">
        <v>0.4</v>
      </c>
      <c r="F26" s="3">
        <v>1</v>
      </c>
      <c r="G26" t="s">
        <v>241</v>
      </c>
    </row>
    <row r="27" spans="1:7" ht="111" x14ac:dyDescent="0.4">
      <c r="A27" s="6" t="s">
        <v>24</v>
      </c>
      <c r="B27" s="6" t="s">
        <v>240</v>
      </c>
      <c r="C27" s="13">
        <v>0.2</v>
      </c>
      <c r="D27" s="8" t="s">
        <v>239</v>
      </c>
      <c r="E27" s="3">
        <v>1</v>
      </c>
      <c r="F27" s="3">
        <v>1</v>
      </c>
      <c r="G27" t="s">
        <v>252</v>
      </c>
    </row>
    <row r="28" spans="1:7" ht="166.5" x14ac:dyDescent="0.4">
      <c r="A28" s="6" t="s">
        <v>25</v>
      </c>
      <c r="B28" s="6" t="s">
        <v>218</v>
      </c>
      <c r="C28" s="13">
        <v>0.2</v>
      </c>
      <c r="D28" s="8" t="s">
        <v>219</v>
      </c>
      <c r="E28" s="3">
        <v>0.4</v>
      </c>
      <c r="F28" s="3">
        <v>1</v>
      </c>
      <c r="G28" t="s">
        <v>253</v>
      </c>
    </row>
    <row r="29" spans="1:7" ht="124.9" x14ac:dyDescent="0.4">
      <c r="A29" s="6" t="s">
        <v>26</v>
      </c>
      <c r="B29" s="6" t="s">
        <v>192</v>
      </c>
      <c r="C29" s="13">
        <v>0.2</v>
      </c>
      <c r="D29" s="8" t="s">
        <v>220</v>
      </c>
      <c r="E29" s="3">
        <v>0.6</v>
      </c>
      <c r="F29" s="3">
        <v>3</v>
      </c>
      <c r="G29" t="s">
        <v>73</v>
      </c>
    </row>
    <row r="30" spans="1:7" ht="152.65" x14ac:dyDescent="0.4">
      <c r="A30" s="6" t="s">
        <v>27</v>
      </c>
      <c r="B30" s="6" t="s">
        <v>221</v>
      </c>
      <c r="C30" s="13">
        <v>0.2</v>
      </c>
      <c r="D30" s="8" t="s">
        <v>222</v>
      </c>
      <c r="E30" s="3">
        <v>0.6</v>
      </c>
      <c r="F30" s="3">
        <v>1</v>
      </c>
      <c r="G30" t="s">
        <v>254</v>
      </c>
    </row>
    <row r="31" spans="1:7" ht="166.5" x14ac:dyDescent="0.4">
      <c r="A31" s="6" t="s">
        <v>28</v>
      </c>
      <c r="B31" s="6" t="s">
        <v>223</v>
      </c>
      <c r="C31" s="13">
        <v>0.2</v>
      </c>
      <c r="D31" s="8" t="s">
        <v>224</v>
      </c>
      <c r="E31" s="3">
        <v>0.5</v>
      </c>
      <c r="F31" s="3">
        <v>1</v>
      </c>
      <c r="G31" t="s">
        <v>255</v>
      </c>
    </row>
    <row r="32" spans="1:7" ht="138.75" x14ac:dyDescent="0.4">
      <c r="A32" s="6" t="s">
        <v>29</v>
      </c>
      <c r="B32" s="6" t="s">
        <v>225</v>
      </c>
      <c r="C32" s="13">
        <v>0.2</v>
      </c>
      <c r="D32" s="8" t="s">
        <v>226</v>
      </c>
      <c r="E32" s="3">
        <v>0.5</v>
      </c>
      <c r="F32" s="3">
        <v>1</v>
      </c>
      <c r="G32" t="s">
        <v>256</v>
      </c>
    </row>
  </sheetData>
  <sortState xmlns:xlrd2="http://schemas.microsoft.com/office/spreadsheetml/2017/richdata2" ref="A2:D32">
    <sortCondition ref="A2:A32" customList=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"/>
  </sortState>
  <phoneticPr fontId="1" type="noConversion"/>
  <hyperlinks>
    <hyperlink ref="D2" r:id="rId1" xr:uid="{6EA57404-0C9E-461E-B5FF-96934DEBE1E0}"/>
    <hyperlink ref="D3" r:id="rId2" xr:uid="{08FA2E39-A5B3-4AC6-A158-799AE44545C7}"/>
    <hyperlink ref="D10" r:id="rId3" xr:uid="{0877A4CE-9581-48A1-A992-31142903AAD9}"/>
    <hyperlink ref="D23" r:id="rId4" xr:uid="{169F1B58-B4F2-4688-89F0-6DE926CF3C10}"/>
    <hyperlink ref="D5" r:id="rId5" xr:uid="{56E1F5C3-302B-4329-B8A0-E651FDD56924}"/>
    <hyperlink ref="D7" r:id="rId6" xr:uid="{6DA5E608-5580-420F-8351-087EA2951095}"/>
    <hyperlink ref="D8" r:id="rId7" xr:uid="{97B9C300-8A77-46FC-A080-C77AD10620B9}"/>
    <hyperlink ref="D11" r:id="rId8" xr:uid="{1274D117-B4CF-4803-BCE3-34FEA48CC2DC}"/>
    <hyperlink ref="D12" r:id="rId9" xr:uid="{67823681-B2E9-4B4C-BB75-5E4E53AA2DC4}"/>
    <hyperlink ref="D13" r:id="rId10" xr:uid="{E8753B45-3C9D-4ED7-BB52-CB9C00495F44}"/>
    <hyperlink ref="D14" r:id="rId11" xr:uid="{A13C030E-E45E-4EAC-B7D4-46834045588D}"/>
    <hyperlink ref="D15" r:id="rId12" xr:uid="{874DF696-5ECE-4E03-ACA1-2E9024264E57}"/>
    <hyperlink ref="D16" r:id="rId13" xr:uid="{04577720-D684-4A6D-986B-281882E02F05}"/>
    <hyperlink ref="D17" r:id="rId14" xr:uid="{836086E4-0CED-45AF-98D3-E16C9055EE8D}"/>
    <hyperlink ref="D18" r:id="rId15" xr:uid="{E6F81D8E-BB4A-4D39-A3C7-71CB0F75FA0C}"/>
    <hyperlink ref="D19" r:id="rId16" xr:uid="{07E0DECA-20CE-4F48-9A6E-AA0220FCC0C3}"/>
    <hyperlink ref="D20" r:id="rId17" xr:uid="{54F1172A-5F16-417C-8919-8D560C99E4AA}"/>
    <hyperlink ref="D21" r:id="rId18" xr:uid="{C192AB13-3BF3-46CA-A1D8-30BDDC24459B}"/>
    <hyperlink ref="D22" r:id="rId19" xr:uid="{CFAA221C-0BDC-4900-81B5-1AD6B5389DCA}"/>
    <hyperlink ref="D24" r:id="rId20" xr:uid="{694D5E32-978A-4BBC-862C-305F23AE2FA2}"/>
    <hyperlink ref="D28" r:id="rId21" xr:uid="{ECBD4620-506B-4249-B186-7503AF5BA5DB}"/>
    <hyperlink ref="D29" r:id="rId22" xr:uid="{CF6C8196-0B47-4296-AAD1-8B82F9F2F6F0}"/>
    <hyperlink ref="D30" r:id="rId23" xr:uid="{E01AADDB-839B-45E7-A743-068B021EDB89}"/>
    <hyperlink ref="D31" r:id="rId24" xr:uid="{57269A34-FB69-4504-B96A-66D03E2D0E73}"/>
    <hyperlink ref="D32" r:id="rId25" xr:uid="{9E970C60-45C7-4A93-9B7F-BC767823F705}"/>
    <hyperlink ref="D6" r:id="rId26" xr:uid="{7F3CC967-77AA-4095-A1AB-8600B71DF27D}"/>
    <hyperlink ref="D4" r:id="rId27" xr:uid="{E78708F7-4460-42F7-92A1-8B7AF301BBAE}"/>
    <hyperlink ref="D9" r:id="rId28" xr:uid="{48FCC1A3-E579-4F4B-B5C4-F0F0DC047924}"/>
    <hyperlink ref="D25" r:id="rId29" xr:uid="{0786BB33-DBA5-45BD-AB24-82CD964A5811}"/>
    <hyperlink ref="D26" r:id="rId30" xr:uid="{0DBC34E7-651B-434E-86FA-7514F2906BD8}"/>
    <hyperlink ref="D27" r:id="rId31" xr:uid="{7DA13F79-558E-42A3-B1D6-10B7813946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规则</vt:lpstr>
      <vt:lpstr>总表</vt:lpstr>
      <vt:lpstr>居民养老保险</vt:lpstr>
      <vt:lpstr>基础养老金</vt:lpstr>
      <vt:lpstr>社平工资</vt:lpstr>
      <vt:lpstr>职工保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2026-02-08T09:40:53Z</dcterms:created>
  <dcterms:modified xsi:type="dcterms:W3CDTF">2026-02-27T07:55:32Z</dcterms:modified>
</cp:coreProperties>
</file>